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да (вердикт опер.)</t>
        </is>
      </c>
      <c r="H36" s="3" t="n">
        <v>0.61</v>
      </c>
      <c r="I36" s="3" t="n">
        <v>1.4</v>
      </c>
      <c r="J36" s="3" t="n">
        <v>0.48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БАГ: Enter = сброс вместо результата (вождение оператора); тестов нет</t>
        </is>
      </c>
      <c r="N36" s="3" t="inlineStr">
        <is>
          <t>кнопочная модель ЗАСЧИТАНА вердиктом оператора 07-18 («А чуть меньше по качеству» — Enter-баг)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да (вердикт опер.)</t>
        </is>
      </c>
      <c r="H48" s="3" t="n">
        <v>1.4</v>
      </c>
      <c r="I48" s="3" t="n">
        <v>7.3</v>
      </c>
      <c r="J48" s="3" t="n">
        <v>0.55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тестов нет; багов вождением не найдено</t>
        </is>
      </c>
      <c r="N48" s="3" t="inlineStr">
        <is>
          <t>кнопочная модель ЗАСЧИТАНА вердиктом оператора 07-18 (прецедент №1; интерпретация не штрафуется)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  <row r="52">
      <c r="A52" s="3" t="inlineStr">
        <is>
          <t>№14</t>
        </is>
      </c>
      <c r="B52" s="3" t="inlineStr">
        <is>
          <t>07-18</t>
        </is>
      </c>
      <c r="C52" s="3" t="inlineStr">
        <is>
          <t>exp-14-criticlite @ 19d1b01 (v5.2.1 + пп.2-4)</t>
        </is>
      </c>
      <c r="D52" s="3" t="inlineStr">
        <is>
          <t>sonnet</t>
        </is>
      </c>
      <c r="E52" s="3" t="inlineStr">
        <is>
          <t>Bcl1</t>
        </is>
      </c>
      <c r="F52" s="3" t="inlineStr">
        <is>
          <t>t1</t>
        </is>
      </c>
      <c r="G52" s="3" t="inlineStr">
        <is>
          <t>да</t>
        </is>
      </c>
      <c r="H52" s="3" t="n">
        <v>5.02</v>
      </c>
      <c r="I52" s="3" t="n">
        <v>21.2</v>
      </c>
      <c r="J52" s="3" t="n">
        <v>0.93</v>
      </c>
      <c r="K52" s="3">
        <f>IF(J52=0,"н-д (0)",ROUND(H52/J52,1))</f>
        <v/>
      </c>
      <c r="L52" s="3" t="inlineStr">
        <is>
          <t>main:sonnet=35; side: sonnet=52 haiku=43 opus=27 fable=5 (4 аг.)</t>
        </is>
      </c>
      <c r="M52" s="3" t="inlineStr">
        <is>
          <t>5 дефектов журнала (validator); kill 7/7 — ОБА M6 УБИТЫ (первый раз за серию)</t>
        </is>
      </c>
      <c r="N52" s="3" t="inlineStr">
        <is>
          <t>opus-ходы 27 против 101 у №13-t1; 47 тестов: 6 граничных по новому правилу</t>
        </is>
      </c>
    </row>
    <row r="53">
      <c r="A53" s="3" t="inlineStr">
        <is>
          <t>№14</t>
        </is>
      </c>
      <c r="B53" s="3" t="inlineStr">
        <is>
          <t>07-18</t>
        </is>
      </c>
      <c r="C53" s="3" t="inlineStr">
        <is>
          <t>exp-14-criticlite</t>
        </is>
      </c>
      <c r="D53" s="3" t="inlineStr">
        <is>
          <t>sonnet</t>
        </is>
      </c>
      <c r="E53" s="3" t="inlineStr">
        <is>
          <t>Bcl1</t>
        </is>
      </c>
      <c r="F53" s="3" t="inlineStr">
        <is>
          <t>t2</t>
        </is>
      </c>
      <c r="G53" s="3" t="inlineStr">
        <is>
          <t>да</t>
        </is>
      </c>
      <c r="H53" s="3" t="n">
        <v>3.82</v>
      </c>
      <c r="I53" s="3" t="n">
        <v>17.3</v>
      </c>
      <c r="J53" s="3" t="n">
        <v>0.9399999999999999</v>
      </c>
      <c r="K53" s="3">
        <f>IF(J53=0,"н-д (0)",ROUND(H53/J53,1))</f>
        <v/>
      </c>
      <c r="L53" s="3" t="inlineStr">
        <is>
          <t>main:sonnet=77; side: haiku=83 opus=28 fable=2 (3 аг.)</t>
        </is>
      </c>
      <c r="M53" s="3" t="inlineStr">
        <is>
          <t>2 дефекта журнала; 31/31 file:line ТОЧНЫ (лучшая сверяемость B-плеч серии)</t>
        </is>
      </c>
      <c r="N53" s="3" t="inlineStr">
        <is>
          <t>критик — точечное чтение диапазонов (вердиктный слой чисто)</t>
        </is>
      </c>
    </row>
    <row r="54">
      <c r="A54" s="3" t="inlineStr">
        <is>
          <t>№14</t>
        </is>
      </c>
      <c r="B54" s="3" t="inlineStr">
        <is>
          <t>07-18</t>
        </is>
      </c>
      <c r="C54" s="3" t="inlineStr">
        <is>
          <t>exp-14-criticlite</t>
        </is>
      </c>
      <c r="D54" s="3" t="inlineStr">
        <is>
          <t>sonnet</t>
        </is>
      </c>
      <c r="E54" s="3" t="inlineStr">
        <is>
          <t>Bcl1</t>
        </is>
      </c>
      <c r="F54" s="3" t="inlineStr">
        <is>
          <t>t3</t>
        </is>
      </c>
      <c r="G54" s="3" t="inlineStr">
        <is>
          <t>да</t>
        </is>
      </c>
      <c r="H54" s="3" t="n">
        <v>2.59</v>
      </c>
      <c r="I54" s="3" t="n">
        <v>12.3</v>
      </c>
      <c r="J54" s="3" t="n">
        <v>0.98</v>
      </c>
      <c r="K54" s="3">
        <f>IF(J54=0,"н-д (0)",ROUND(H54/J54,1))</f>
        <v/>
      </c>
      <c r="L54" s="3" t="inlineStr">
        <is>
          <t>main:sonnet=42; side: haiku=36 sonnet=24 opus=12 fable=6 (4 аг.)</t>
        </is>
      </c>
      <c r="M54" s="3" t="inlineStr">
        <is>
          <t>0 дефектов журнала; kill вкл. M1; снимок критика СОВПАЛ</t>
        </is>
      </c>
      <c r="N54" s="3" t="inlineStr">
        <is>
          <t>лучшая клетка прогона</t>
        </is>
      </c>
    </row>
    <row r="55">
      <c r="A55" s="4" t="inlineStr">
        <is>
          <t>№14</t>
        </is>
      </c>
      <c r="B55" s="4" t="inlineStr"/>
      <c r="C55" s="4" t="inlineStr"/>
      <c r="D55" s="4" t="inlineStr">
        <is>
          <t>sonnet</t>
        </is>
      </c>
      <c r="E55" s="4" t="inlineStr">
        <is>
          <t>Bcl1</t>
        </is>
      </c>
      <c r="F55" s="4" t="inlineStr">
        <is>
          <t>ИТОГ ПЛЕЧА</t>
        </is>
      </c>
      <c r="G55" s="4" t="inlineStr"/>
      <c r="H55" s="4">
        <f>SUM(H52:H54)</f>
        <v/>
      </c>
      <c r="I55" s="4">
        <f>SUM(I52:I54)</f>
        <v/>
      </c>
      <c r="J55" s="4">
        <f>ROUND(AVERAGE(J52:J54),2)</f>
        <v/>
      </c>
      <c r="K55" s="4">
        <f>IF(OR(J55="",J55=0),"н-д",ROUND(SUM(H52:H54)/J55,1))</f>
        <v/>
      </c>
      <c r="L55" s="4" t="inlineStr"/>
      <c r="M55" s="4" t="inlineStr"/>
      <c r="N55" s="4" t="inlineStr">
        <is>
          <t>сводный = среднее задачных; осевой метод Runs log: — (не переписан)</t>
        </is>
      </c>
    </row>
    <row r="56">
      <c r="A56" t="inlineStr">
        <is>
          <t>№15</t>
        </is>
      </c>
      <c r="B56" t="inlineStr">
        <is>
          <t>07-19</t>
        </is>
      </c>
      <c r="C56" t="inlineStr">
        <is>
          <t>exp-15-kernel @ 8333adf (= main e1ccd50 = штаб f5b27d5; ЯДРО-КАНДИДАТ EN 20379 Б vs 35776)</t>
        </is>
      </c>
      <c r="D56" t="inlineStr">
        <is>
          <t>sonnet</t>
        </is>
      </c>
      <c r="E56" t="inlineStr">
        <is>
          <t>Bkn1</t>
        </is>
      </c>
      <c r="F56" t="inlineStr">
        <is>
          <t>t1</t>
        </is>
      </c>
      <c r="G56" t="inlineStr">
        <is>
          <t>да</t>
        </is>
      </c>
      <c r="H56" t="n">
        <v>3.87</v>
      </c>
      <c r="I56" t="n">
        <v>16.9</v>
      </c>
      <c r="J56" t="n">
        <v>0.96</v>
      </c>
      <c r="K56">
        <f>IF(J56=0,"н-д (0)",ROUND(H56/J56,1))</f>
        <v/>
      </c>
      <c r="L56" t="inlineStr">
        <is>
          <t>main:sonnet=28; side: sonnet=25 opus=8 haiku=3 fable=2 (6 аг.)</t>
        </is>
      </c>
      <c r="M56" t="inlineStr">
        <is>
          <t>kill 7/7 вкл. оба M6; арабские цифры молча приняты — ПОВТОР класса №13-Bfg4-t1 (не ядро-специфично), без теста; 0 дефектов журнала</t>
        </is>
      </c>
      <c r="N56" t="inlineStr">
        <is>
          <t>28 тестов; критик поймал протечку RecursionError на цепочке унарных минусов; A=0.85 за арабский пробел</t>
        </is>
      </c>
    </row>
    <row r="57">
      <c r="A57" t="inlineStr">
        <is>
          <t>№15</t>
        </is>
      </c>
      <c r="B57" t="inlineStr">
        <is>
          <t>07-19</t>
        </is>
      </c>
      <c r="C57" t="inlineStr">
        <is>
          <t>exp-15-kernel</t>
        </is>
      </c>
      <c r="D57" t="inlineStr">
        <is>
          <t>sonnet</t>
        </is>
      </c>
      <c r="E57" t="inlineStr">
        <is>
          <t>Bkn1</t>
        </is>
      </c>
      <c r="F57" t="inlineStr">
        <is>
          <t>t2</t>
        </is>
      </c>
      <c r="G57" t="inlineStr">
        <is>
          <t>да</t>
        </is>
      </c>
      <c r="H57" t="n">
        <v>3.6</v>
      </c>
      <c r="I57" t="n">
        <v>17.2</v>
      </c>
      <c r="J57" t="n">
        <v>0.93</v>
      </c>
      <c r="K57">
        <f>IF(J57=0,"н-д (0)",ROUND(H57/J57,1))</f>
        <v/>
      </c>
      <c r="L57" t="inlineStr">
        <is>
          <t>main:sonnet=20; side: haiku=28 fable=6 opus=4 sonnet=2 (3 аг.)</t>
        </is>
      </c>
      <c r="M57" t="inlineStr">
        <is>
          <t>3 строки журнала без category (validator); 17/17 file:line ТОЧНЫ — первый план серии без единой неточности</t>
        </is>
      </c>
      <c r="N57" t="inlineStr">
        <is>
          <t>критик-на-план исполнен; stall 74s внешней нагрузки; C-ось н-п</t>
        </is>
      </c>
    </row>
    <row r="58">
      <c r="A58" t="inlineStr">
        <is>
          <t>№15</t>
        </is>
      </c>
      <c r="B58" t="inlineStr">
        <is>
          <t>07-19</t>
        </is>
      </c>
      <c r="C58" t="inlineStr">
        <is>
          <t>exp-15-kernel</t>
        </is>
      </c>
      <c r="D58" t="inlineStr">
        <is>
          <t>sonnet</t>
        </is>
      </c>
      <c r="E58" t="inlineStr">
        <is>
          <t>Bkn1</t>
        </is>
      </c>
      <c r="F58" t="inlineStr">
        <is>
          <t>t3</t>
        </is>
      </c>
      <c r="G58" t="inlineStr">
        <is>
          <t>да</t>
        </is>
      </c>
      <c r="H58" t="n">
        <v>2.66</v>
      </c>
      <c r="I58" t="n">
        <v>13.5</v>
      </c>
      <c r="J58" t="n">
        <v>0.9399999999999999</v>
      </c>
      <c r="K58">
        <f>IF(J58=0,"н-д (0)",ROUND(H58/J58,1))</f>
        <v/>
      </c>
      <c r="L58" t="inlineStr">
        <is>
          <t>main:sonnet=24; side: haiku=18 sonnet=12 opus=7 (4 аг.)</t>
        </is>
      </c>
      <c r="M58" t="inlineStr">
        <is>
          <t>ПРОКСИ-ПОДМЕНА (F-37): журнал заявляет fable-прокси (t-002 model/by=fable), замер cc_usage — opus-4-8, fable-ходов 0; E срезана Lead 1.0-&gt;0.5 (скаляр грейдера 1.0-&gt;0.94); kill 7/7 вкл. M1</t>
        </is>
      </c>
      <c r="N58" t="inlineStr">
        <is>
          <t>класс «done по позиции» структурно закрыт (общий find_index_by_id); 13 тестов; матрица приёмки в существе чиста (opus-вход достаточен для builder)</t>
        </is>
      </c>
    </row>
    <row r="59">
      <c r="A59" t="inlineStr">
        <is>
          <t>№15</t>
        </is>
      </c>
      <c r="D59" t="inlineStr">
        <is>
          <t>sonnet</t>
        </is>
      </c>
      <c r="E59" t="inlineStr">
        <is>
          <t>Bkn1</t>
        </is>
      </c>
      <c r="F59" t="inlineStr">
        <is>
          <t>ИТОГ ПЛЕЧА</t>
        </is>
      </c>
      <c r="H59">
        <f>SUM(H56:H58)</f>
        <v/>
      </c>
      <c r="I59">
        <f>SUM(I56:I58)</f>
        <v/>
      </c>
      <c r="J59">
        <f>ROUND(AVERAGE(J56:J58),2)</f>
        <v/>
      </c>
      <c r="K59">
        <f>IF(OR(J59="",J59=0),"н-д",ROUND(SUM(H56:H58)/J59,1))</f>
        <v/>
      </c>
      <c r="N59" t="inlineStr">
        <is>
          <t>сводный = среднее задачных; Runs log: 0.94; t3 скорректирована Lead при приёмке (прокси-подмена); k2 журналы: 0/3/0 дефектов vs база №14 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2026-07-18T19:10:56Z</dcterms:created>
  <dcterms:modified xmlns:dcterms="http://purl.org/dc/terms/" xmlns:xsi="http://www.w3.org/2001/XMLSchema-instance" xsi:type="dcterms:W3CDTF">2026-07-19T14:09:20Z</dcterms:modified>
</cp:coreProperties>
</file>