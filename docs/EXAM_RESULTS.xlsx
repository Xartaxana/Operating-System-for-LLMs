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лые (набор №1)" sheetId="1" state="visible" r:id="rId1"/>
    <sheet xmlns:r="http://schemas.openxmlformats.org/officeDocument/2006/relationships" name="Большие (набор №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11" customWidth="1" min="4" max="4"/>
    <col width="8" customWidth="1" min="5" max="5"/>
    <col width="15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42" customWidth="1" min="12" max="12"/>
    <col width="46" customWidth="1" min="13" max="13"/>
    <col width="34" customWidth="1" min="14" max="14"/>
  </cols>
  <sheetData>
    <row r="1">
      <c r="A1" s="1" t="inlineStr">
        <is>
          <t>РЕЕСТР ЭКЗАМЕНОВ ЭКОНОМИИ — МАЛЫЕ (набор №1). Живой файл: разбор каждого прогона добавляет строки (норма — PROCESS/DEPLOYMENT_ECONOMY_EXAM.md). Источники: Runs log протокола, grading-логи и run_log.json полигонов, tier_path-срезы транскриптов.</t>
        </is>
      </c>
    </row>
    <row r="2">
      <c r="A2" t="inlineStr">
        <is>
          <t>Легенда: скаляр 6б — ПО ЗАДАЧЕ (метод 07-18: оси табеля на задачу, н-п/не-измеренные оси — из знаменателя); F = цена/скаляр той же строки (формула); итог плеча: вал суммой, скаляр = среднее задачных, рядом пометка прежнего осевого значения Runs log; время — wall клетки из run_log (агрегаты: мин/задачу — см. примечания); «н-д» — данных в источниках нет.</t>
        </is>
      </c>
    </row>
    <row r="4">
      <c r="A4" s="2" t="inlineStr">
        <is>
          <t>Прогон</t>
        </is>
      </c>
      <c r="B4" s="2" t="inlineStr">
        <is>
          <t>Дата</t>
        </is>
      </c>
      <c r="C4" s="2" t="inlineStr">
        <is>
          <t>Кит/штаб</t>
        </is>
      </c>
      <c r="D4" s="2" t="inlineStr">
        <is>
          <t>Координатор</t>
        </is>
      </c>
      <c r="E4" s="2" t="inlineStr">
        <is>
          <t>Плечо</t>
        </is>
      </c>
      <c r="F4" s="2" t="inlineStr">
        <is>
          <t>Задача</t>
        </is>
      </c>
      <c r="G4" s="2" t="inlineStr">
        <is>
          <t>Принята</t>
        </is>
      </c>
      <c r="H4" s="2" t="inlineStr">
        <is>
          <t>Цена $</t>
        </is>
      </c>
      <c r="I4" s="2" t="inlineStr">
        <is>
          <t>Время клетки, мин</t>
        </is>
      </c>
      <c r="J4" s="2" t="inlineStr">
        <is>
          <t>Скаляр 6б (плечо)</t>
        </is>
      </c>
      <c r="K4" s="2" t="inlineStr">
        <is>
          <t>F ($/взвеш.точку)</t>
        </is>
      </c>
      <c r="L4" s="2" t="inlineStr">
        <is>
          <t>Путь по ярусам (ходы)</t>
        </is>
      </c>
      <c r="M4" s="2" t="inlineStr">
        <is>
          <t>Пропущенные баги/дефекты</t>
        </is>
      </c>
      <c r="N4" s="2" t="inlineStr">
        <is>
          <t>Примечания</t>
        </is>
      </c>
    </row>
    <row r="5">
      <c r="A5" s="3" t="inlineStr">
        <is>
          <t>№1</t>
        </is>
      </c>
      <c r="B5" s="3" t="inlineStr">
        <is>
          <t>07-14</t>
        </is>
      </c>
      <c r="C5" s="3" t="inlineStr">
        <is>
          <t>v0.1.0</t>
        </is>
      </c>
      <c r="D5" s="3" t="inlineStr">
        <is>
          <t>fable</t>
        </is>
      </c>
      <c r="E5" s="3" t="inlineStr">
        <is>
          <t>A</t>
        </is>
      </c>
      <c r="F5" s="3" t="inlineStr">
        <is>
          <t>агрегат 3 задач</t>
        </is>
      </c>
      <c r="G5" s="3" t="inlineStr">
        <is>
          <t>3/3</t>
        </is>
      </c>
      <c r="H5" s="3" t="n">
        <v>2.88</v>
      </c>
      <c r="I5" s="3" t="n">
        <v>6.8</v>
      </c>
      <c r="J5" s="3" t="inlineStr">
        <is>
          <t>н-д</t>
        </is>
      </c>
      <c r="K5" s="3" t="inlineStr">
        <is>
          <t>н-д</t>
        </is>
      </c>
      <c r="L5" s="3" t="inlineStr">
        <is>
          <t>main fable; делег. 0%</t>
        </is>
      </c>
      <c r="M5" s="3" t="inlineStr">
        <is>
          <t>н-д (рубрика 6а ретро)</t>
        </is>
      </c>
      <c r="N5" s="3" t="inlineStr">
        <is>
          <t>цены v3 после F-42/43; время=мин/задачу</t>
        </is>
      </c>
    </row>
    <row r="6">
      <c r="A6" s="3" t="inlineStr">
        <is>
          <t>№1</t>
        </is>
      </c>
      <c r="B6" s="3" t="inlineStr">
        <is>
          <t>07-14</t>
        </is>
      </c>
      <c r="C6" s="3" t="inlineStr">
        <is>
          <t>v0.1.0</t>
        </is>
      </c>
      <c r="D6" s="3" t="inlineStr">
        <is>
          <t>fable</t>
        </is>
      </c>
      <c r="E6" s="3" t="inlineStr">
        <is>
          <t>B</t>
        </is>
      </c>
      <c r="F6" s="3" t="inlineStr">
        <is>
          <t>агрегат 3 задач</t>
        </is>
      </c>
      <c r="G6" s="3" t="inlineStr">
        <is>
          <t>3/3</t>
        </is>
      </c>
      <c r="H6" s="3" t="n">
        <v>7.79</v>
      </c>
      <c r="I6" s="3" t="n">
        <v>10.3</v>
      </c>
      <c r="J6" s="3" t="inlineStr">
        <is>
          <t>н-д</t>
        </is>
      </c>
      <c r="K6" s="3" t="inlineStr">
        <is>
          <t>н-д</t>
        </is>
      </c>
      <c r="L6" s="3" t="inlineStr">
        <is>
          <t>делег. 28%</t>
        </is>
      </c>
      <c r="M6" s="3" t="inlineStr">
        <is>
          <t>н-д</t>
        </is>
      </c>
      <c r="N6" s="3" t="inlineStr"/>
    </row>
    <row r="7">
      <c r="A7" s="3" t="inlineStr">
        <is>
          <t>№1</t>
        </is>
      </c>
      <c r="B7" s="3" t="inlineStr">
        <is>
          <t>07-14</t>
        </is>
      </c>
      <c r="C7" s="3" t="inlineStr">
        <is>
          <t>v0.1.0</t>
        </is>
      </c>
      <c r="D7" s="3" t="inlineStr">
        <is>
          <t>fable</t>
        </is>
      </c>
      <c r="E7" s="3" t="inlineStr">
        <is>
          <t>C</t>
        </is>
      </c>
      <c r="F7" s="3" t="inlineStr">
        <is>
          <t>агрегат 3 задач</t>
        </is>
      </c>
      <c r="G7" s="3" t="inlineStr">
        <is>
          <t>3/3</t>
        </is>
      </c>
      <c r="H7" s="3" t="n">
        <v>9.029999999999999</v>
      </c>
      <c r="I7" s="3" t="n">
        <v>13.3</v>
      </c>
      <c r="J7" s="3" t="inlineStr">
        <is>
          <t>н-д</t>
        </is>
      </c>
      <c r="K7" s="3" t="inlineStr">
        <is>
          <t>н-д</t>
        </is>
      </c>
      <c r="L7" s="3" t="inlineStr">
        <is>
          <t>Workflow-тул, 16 агентов; делег. 66%</t>
        </is>
      </c>
      <c r="M7" s="3" t="inlineStr">
        <is>
          <t>н-д</t>
        </is>
      </c>
      <c r="N7" s="3" t="inlineStr">
        <is>
          <t>C-T1 принят вердиктом оператора</t>
        </is>
      </c>
    </row>
    <row r="8">
      <c r="A8" s="3" t="inlineStr">
        <is>
          <t>№2</t>
        </is>
      </c>
      <c r="B8" s="3" t="inlineStr">
        <is>
          <t>07-14</t>
        </is>
      </c>
      <c r="C8" s="3" t="inlineStr">
        <is>
          <t>v0.2.0+дизайнер</t>
        </is>
      </c>
      <c r="D8" s="3" t="inlineStr">
        <is>
          <t>fable</t>
        </is>
      </c>
      <c r="E8" s="3" t="inlineStr">
        <is>
          <t>A</t>
        </is>
      </c>
      <c r="F8" s="3" t="inlineStr">
        <is>
          <t>агрегат 3 задач</t>
        </is>
      </c>
      <c r="G8" s="3" t="inlineStr">
        <is>
          <t>3/3</t>
        </is>
      </c>
      <c r="H8" s="3" t="n">
        <v>2.79</v>
      </c>
      <c r="I8" s="3" t="n">
        <v>2</v>
      </c>
      <c r="J8" s="3" t="inlineStr">
        <is>
          <t>н-д</t>
        </is>
      </c>
      <c r="K8" s="3" t="inlineStr">
        <is>
          <t>н-д</t>
        </is>
      </c>
      <c r="L8" s="3" t="inlineStr">
        <is>
          <t>делег. 0%</t>
        </is>
      </c>
      <c r="M8" s="3" t="inlineStr">
        <is>
          <t>н-д</t>
        </is>
      </c>
      <c r="N8" s="3" t="inlineStr">
        <is>
          <t>чистое время (правило атрибуции)</t>
        </is>
      </c>
    </row>
    <row r="9">
      <c r="A9" s="3" t="inlineStr">
        <is>
          <t>№2</t>
        </is>
      </c>
      <c r="B9" s="3" t="inlineStr">
        <is>
          <t>07-14</t>
        </is>
      </c>
      <c r="C9" s="3" t="inlineStr">
        <is>
          <t>v0.2.0+дизайнер</t>
        </is>
      </c>
      <c r="D9" s="3" t="inlineStr">
        <is>
          <t>fable</t>
        </is>
      </c>
      <c r="E9" s="3" t="inlineStr">
        <is>
          <t>B</t>
        </is>
      </c>
      <c r="F9" s="3" t="inlineStr">
        <is>
          <t>агрегат 3 задач</t>
        </is>
      </c>
      <c r="G9" s="3" t="inlineStr">
        <is>
          <t>3/3</t>
        </is>
      </c>
      <c r="H9" s="3" t="n">
        <v>15.58</v>
      </c>
      <c r="I9" s="3" t="n">
        <v>11.5</v>
      </c>
      <c r="J9" s="3" t="inlineStr">
        <is>
          <t>н-д</t>
        </is>
      </c>
      <c r="K9" s="3" t="inlineStr">
        <is>
          <t>н-д</t>
        </is>
      </c>
      <c r="L9" s="3" t="inlineStr">
        <is>
          <t>делег. 28%</t>
        </is>
      </c>
      <c r="M9" s="3" t="inlineStr">
        <is>
          <t>н-д</t>
        </is>
      </c>
      <c r="N9" s="3" t="inlineStr">
        <is>
          <t>конфаунд релиз+дизайнер</t>
        </is>
      </c>
    </row>
    <row r="10">
      <c r="A10" s="3" t="inlineStr">
        <is>
          <t>№2</t>
        </is>
      </c>
      <c r="B10" s="3" t="inlineStr">
        <is>
          <t>07-14</t>
        </is>
      </c>
      <c r="C10" s="3" t="inlineStr">
        <is>
          <t>v0.2.0</t>
        </is>
      </c>
      <c r="D10" s="3" t="inlineStr">
        <is>
          <t>fable</t>
        </is>
      </c>
      <c r="E10" s="3" t="inlineStr">
        <is>
          <t>B0</t>
        </is>
      </c>
      <c r="F10" s="3" t="inlineStr">
        <is>
          <t>агрегат 3 задач</t>
        </is>
      </c>
      <c r="G10" s="3" t="inlineStr">
        <is>
          <t>3/3</t>
        </is>
      </c>
      <c r="H10" s="3" t="n">
        <v>14.82</v>
      </c>
      <c r="I10" s="3" t="n">
        <v>11.1</v>
      </c>
      <c r="J10" s="3" t="inlineStr">
        <is>
          <t>н-д</t>
        </is>
      </c>
      <c r="K10" s="3" t="inlineStr">
        <is>
          <t>н-д</t>
        </is>
      </c>
      <c r="L10" s="3" t="inlineStr">
        <is>
          <t>делег. 24%; 2 reject-ретрая</t>
        </is>
      </c>
      <c r="M10" s="3" t="inlineStr">
        <is>
          <t>н-д</t>
        </is>
      </c>
      <c r="N10" s="3" t="inlineStr">
        <is>
          <t>контрольное плечо без дизайнера</t>
        </is>
      </c>
    </row>
    <row r="11">
      <c r="A11" s="3" t="inlineStr">
        <is>
          <t>№2</t>
        </is>
      </c>
      <c r="B11" s="3" t="inlineStr">
        <is>
          <t>07-14</t>
        </is>
      </c>
      <c r="C11" s="3" t="inlineStr">
        <is>
          <t>v0.2.0+дизайнер</t>
        </is>
      </c>
      <c r="D11" s="3" t="inlineStr">
        <is>
          <t>fable</t>
        </is>
      </c>
      <c r="E11" s="3" t="inlineStr">
        <is>
          <t>C</t>
        </is>
      </c>
      <c r="F11" s="3" t="inlineStr">
        <is>
          <t>агрегат 3 задач</t>
        </is>
      </c>
      <c r="G11" s="3" t="inlineStr">
        <is>
          <t>3/3</t>
        </is>
      </c>
      <c r="H11" s="3" t="n">
        <v>9.779999999999999</v>
      </c>
      <c r="I11" s="3" t="n">
        <v>9</v>
      </c>
      <c r="J11" s="3" t="inlineStr">
        <is>
          <t>н-д</t>
        </is>
      </c>
      <c r="K11" s="3" t="inlineStr">
        <is>
          <t>н-д</t>
        </is>
      </c>
      <c r="L11" s="3" t="inlineStr">
        <is>
          <t>делег. 59%</t>
        </is>
      </c>
      <c r="M11" s="3" t="inlineStr">
        <is>
          <t>н-д</t>
        </is>
      </c>
      <c r="N11" s="3" t="inlineStr">
        <is>
          <t>все деливераблы файлами</t>
        </is>
      </c>
    </row>
    <row r="12">
      <c r="A12" s="3" t="inlineStr">
        <is>
          <t>№3</t>
        </is>
      </c>
      <c r="B12" s="3" t="inlineStr">
        <is>
          <t>07-15</t>
        </is>
      </c>
      <c r="C12" s="3" t="inlineStr">
        <is>
          <t>v0.2.0</t>
        </is>
      </c>
      <c r="D12" s="3" t="inlineStr">
        <is>
          <t>sonnet</t>
        </is>
      </c>
      <c r="E12" s="3" t="inlineStr">
        <is>
          <t>A</t>
        </is>
      </c>
      <c r="F12" s="3" t="inlineStr">
        <is>
          <t>агрегат 3 задач</t>
        </is>
      </c>
      <c r="G12" s="3" t="inlineStr">
        <is>
          <t>3/3*</t>
        </is>
      </c>
      <c r="H12" s="3" t="n">
        <v>1.02</v>
      </c>
      <c r="I12" s="3" t="n">
        <v>1.3</v>
      </c>
      <c r="J12" s="3" t="inlineStr">
        <is>
          <t>н-д</t>
        </is>
      </c>
      <c r="K12" s="3" t="inlineStr">
        <is>
          <t>н-д</t>
        </is>
      </c>
      <c r="L12" s="3" t="inlineStr">
        <is>
          <t>делег. 0%</t>
        </is>
      </c>
      <c r="M12" s="3" t="inlineStr">
        <is>
          <t>рубрика 6а: +1</t>
        </is>
      </c>
      <c r="N12" s="3" t="inlineStr">
        <is>
          <t>*A-t1 артефакт-ссылка из аккаунта</t>
        </is>
      </c>
    </row>
    <row r="13">
      <c r="A13" s="3" t="inlineStr">
        <is>
          <t>№3</t>
        </is>
      </c>
      <c r="B13" s="3" t="inlineStr">
        <is>
          <t>07-15</t>
        </is>
      </c>
      <c r="C13" s="3" t="inlineStr">
        <is>
          <t>v0.2.0</t>
        </is>
      </c>
      <c r="D13" s="3" t="inlineStr">
        <is>
          <t>sonnet</t>
        </is>
      </c>
      <c r="E13" s="3" t="inlineStr">
        <is>
          <t>B</t>
        </is>
      </c>
      <c r="F13" s="3" t="inlineStr">
        <is>
          <t>агрегат 3 задач</t>
        </is>
      </c>
      <c r="G13" s="3" t="inlineStr">
        <is>
          <t>3/3</t>
        </is>
      </c>
      <c r="H13" s="3" t="n">
        <v>7.14</v>
      </c>
      <c r="I13" s="3" t="n">
        <v>9.6</v>
      </c>
      <c r="J13" s="3" t="inlineStr">
        <is>
          <t>н-д</t>
        </is>
      </c>
      <c r="K13" s="3" t="inlineStr">
        <is>
          <t>н-д</t>
        </is>
      </c>
      <c r="L13" s="3" t="inlineStr">
        <is>
          <t>делег. 53%; полный каскад политики B-t1</t>
        </is>
      </c>
      <c r="M13" s="3" t="inlineStr">
        <is>
          <t>рубрика 6а: +2</t>
        </is>
      </c>
      <c r="N13" s="3" t="inlineStr">
        <is>
          <t>первый Sonnet-координатор + раннер</t>
        </is>
      </c>
    </row>
    <row r="14">
      <c r="A14" s="3" t="inlineStr">
        <is>
          <t>№3</t>
        </is>
      </c>
      <c r="B14" s="3" t="inlineStr">
        <is>
          <t>07-15</t>
        </is>
      </c>
      <c r="C14" s="3" t="inlineStr">
        <is>
          <t>v0.2.0</t>
        </is>
      </c>
      <c r="D14" s="3" t="inlineStr">
        <is>
          <t>sonnet</t>
        </is>
      </c>
      <c r="E14" s="3" t="inlineStr">
        <is>
          <t>C</t>
        </is>
      </c>
      <c r="F14" s="3" t="inlineStr">
        <is>
          <t>агрегат 3 задач</t>
        </is>
      </c>
      <c r="G14" s="3" t="inlineStr">
        <is>
          <t>3/3</t>
        </is>
      </c>
      <c r="H14" s="3" t="n">
        <v>5.76</v>
      </c>
      <c r="I14" s="3" t="n">
        <v>8.800000000000001</v>
      </c>
      <c r="J14" s="3" t="inlineStr">
        <is>
          <t>н-д</t>
        </is>
      </c>
      <c r="K14" s="3" t="inlineStr">
        <is>
          <t>н-д</t>
        </is>
      </c>
      <c r="L14" s="3" t="inlineStr">
        <is>
          <t>делег. 76%</t>
        </is>
      </c>
      <c r="M14" s="3" t="inlineStr">
        <is>
          <t>рубрика 6а: +2</t>
        </is>
      </c>
      <c r="N14" s="3" t="inlineStr">
        <is>
          <t>C впервые закрыл ключ =6</t>
        </is>
      </c>
    </row>
    <row r="15">
      <c r="A15" s="3" t="inlineStr">
        <is>
          <t>№4</t>
        </is>
      </c>
      <c r="B15" s="3" t="inlineStr">
        <is>
          <t>07-15</t>
        </is>
      </c>
      <c r="C15" s="3" t="inlineStr">
        <is>
          <t>v0.1.0</t>
        </is>
      </c>
      <c r="D15" s="3" t="inlineStr">
        <is>
          <t>sonnet</t>
        </is>
      </c>
      <c r="E15" s="3" t="inlineStr">
        <is>
          <t>A</t>
        </is>
      </c>
      <c r="F15" s="3" t="inlineStr">
        <is>
          <t>агрегат 3 задач</t>
        </is>
      </c>
      <c r="G15" s="3" t="inlineStr">
        <is>
          <t>3/3*</t>
        </is>
      </c>
      <c r="H15" s="3" t="n">
        <v>1.47</v>
      </c>
      <c r="I15" s="3" t="n">
        <v>2.1</v>
      </c>
      <c r="J15" s="3" t="inlineStr">
        <is>
          <t>н-д</t>
        </is>
      </c>
      <c r="K15" s="3" t="inlineStr">
        <is>
          <t>н-д</t>
        </is>
      </c>
      <c r="L15" s="3" t="inlineStr">
        <is>
          <t>делег. 0%</t>
        </is>
      </c>
      <c r="M15" s="3" t="inlineStr">
        <is>
          <t>рубрика 6а: +1</t>
        </is>
      </c>
      <c r="N15" s="3" t="inlineStr"/>
    </row>
    <row r="16">
      <c r="A16" s="3" t="inlineStr">
        <is>
          <t>№4</t>
        </is>
      </c>
      <c r="B16" s="3" t="inlineStr">
        <is>
          <t>07-15</t>
        </is>
      </c>
      <c r="C16" s="3" t="inlineStr">
        <is>
          <t>v0.1.0</t>
        </is>
      </c>
      <c r="D16" s="3" t="inlineStr">
        <is>
          <t>sonnet</t>
        </is>
      </c>
      <c r="E16" s="3" t="inlineStr">
        <is>
          <t>B</t>
        </is>
      </c>
      <c r="F16" s="3" t="inlineStr">
        <is>
          <t>агрегат 3 задач</t>
        </is>
      </c>
      <c r="G16" s="3" t="inlineStr">
        <is>
          <t>3/3</t>
        </is>
      </c>
      <c r="H16" s="3" t="n">
        <v>10.14</v>
      </c>
      <c r="I16" s="3" t="n">
        <v>12.9</v>
      </c>
      <c r="J16" s="3" t="inlineStr">
        <is>
          <t>н-д</t>
        </is>
      </c>
      <c r="K16" s="3" t="inlineStr">
        <is>
          <t>н-д</t>
        </is>
      </c>
      <c r="L16" s="3" t="inlineStr">
        <is>
          <t>делег. 58%</t>
        </is>
      </c>
      <c r="M16" s="3" t="inlineStr">
        <is>
          <t>рубрика 6а: +3</t>
        </is>
      </c>
      <c r="N16" s="3" t="inlineStr">
        <is>
          <t>первый reject реального цикла (критик)</t>
        </is>
      </c>
    </row>
    <row r="17">
      <c r="A17" s="3" t="inlineStr">
        <is>
          <t>№4</t>
        </is>
      </c>
      <c r="B17" s="3" t="inlineStr">
        <is>
          <t>07-15</t>
        </is>
      </c>
      <c r="C17" s="3" t="inlineStr">
        <is>
          <t>v0.1.0</t>
        </is>
      </c>
      <c r="D17" s="3" t="inlineStr">
        <is>
          <t>sonnet</t>
        </is>
      </c>
      <c r="E17" s="3" t="inlineStr">
        <is>
          <t>C</t>
        </is>
      </c>
      <c r="F17" s="3" t="inlineStr">
        <is>
          <t>агрегат 3 задач</t>
        </is>
      </c>
      <c r="G17" s="3" t="inlineStr">
        <is>
          <t>3/3</t>
        </is>
      </c>
      <c r="H17" s="3" t="n">
        <v>6.39</v>
      </c>
      <c r="I17" s="3" t="n">
        <v>8.300000000000001</v>
      </c>
      <c r="J17" s="3" t="inlineStr">
        <is>
          <t>н-д</t>
        </is>
      </c>
      <c r="K17" s="3" t="inlineStr">
        <is>
          <t>н-д</t>
        </is>
      </c>
      <c r="L17" s="3" t="inlineStr">
        <is>
          <t>делег. 75%</t>
        </is>
      </c>
      <c r="M17" s="3" t="inlineStr">
        <is>
          <t>рубрика 6а: +2</t>
        </is>
      </c>
      <c r="N17" s="3" t="inlineStr"/>
    </row>
    <row r="18">
      <c r="A18" s="3" t="inlineStr">
        <is>
          <t>№7</t>
        </is>
      </c>
      <c r="B18" s="3" t="inlineStr">
        <is>
          <t>07-16</t>
        </is>
      </c>
      <c r="C18" s="3" t="inlineStr">
        <is>
          <t>kit 2560d2b</t>
        </is>
      </c>
      <c r="D18" s="3" t="inlineStr">
        <is>
          <t>sonnet</t>
        </is>
      </c>
      <c r="E18" s="3" t="inlineStr">
        <is>
          <t>Bfull</t>
        </is>
      </c>
      <c r="F18" s="3" t="inlineStr">
        <is>
          <t>агрегат 3 задач</t>
        </is>
      </c>
      <c r="G18" s="3" t="inlineStr">
        <is>
          <t>3/3</t>
        </is>
      </c>
      <c r="H18" s="3" t="n">
        <v>10.33</v>
      </c>
      <c r="I18" s="3" t="n">
        <v>16.7</v>
      </c>
      <c r="J18" s="3" t="n">
        <v>0.93</v>
      </c>
      <c r="K18" s="3">
        <f>IF(J18=0,"н-д (0)",ROUND(H18/J18,1))</f>
        <v/>
      </c>
      <c r="L18" s="3" t="inlineStr">
        <is>
          <t>делег. 66%</t>
        </is>
      </c>
      <c r="M18" s="3" t="inlineStr">
        <is>
          <t>t3: M1 delete-по-позиции ВЫЖИЛ</t>
        </is>
      </c>
      <c r="N18" s="3" t="inlineStr">
        <is>
          <t>рубрика 6а +3; время=окно/3</t>
        </is>
      </c>
    </row>
    <row r="19">
      <c r="A19" s="3" t="inlineStr">
        <is>
          <t>№7</t>
        </is>
      </c>
      <c r="B19" s="3" t="inlineStr">
        <is>
          <t>07-16</t>
        </is>
      </c>
      <c r="C19" s="3" t="inlineStr">
        <is>
          <t>diet 70cbd59</t>
        </is>
      </c>
      <c r="D19" s="3" t="inlineStr">
        <is>
          <t>sonnet</t>
        </is>
      </c>
      <c r="E19" s="3" t="inlineStr">
        <is>
          <t>Bdiet</t>
        </is>
      </c>
      <c r="F19" s="3" t="inlineStr">
        <is>
          <t>агрегат 3 задач</t>
        </is>
      </c>
      <c r="G19" s="3" t="inlineStr">
        <is>
          <t>3/3</t>
        </is>
      </c>
      <c r="H19" s="3" t="n">
        <v>11.33</v>
      </c>
      <c r="I19" s="3" t="n">
        <v>16.7</v>
      </c>
      <c r="J19" s="3" t="n">
        <v>0.91</v>
      </c>
      <c r="K19" s="3">
        <f>IF(J19=0,"н-д (0)",ROUND(H19/J19,1))</f>
        <v/>
      </c>
      <c r="L19" s="3" t="inlineStr">
        <is>
          <t>делег. 62%</t>
        </is>
      </c>
      <c r="M19" s="3" t="inlineStr">
        <is>
          <t>критик-каденцию поле игнорировало</t>
        </is>
      </c>
      <c r="N19" s="3" t="inlineStr">
        <is>
          <t>диета исполнена частично</t>
        </is>
      </c>
    </row>
    <row r="20">
      <c r="A20" s="3" t="inlineStr">
        <is>
          <t>№7</t>
        </is>
      </c>
      <c r="B20" s="3" t="inlineStr">
        <is>
          <t>07-16</t>
        </is>
      </c>
      <c r="C20" s="3" t="inlineStr">
        <is>
          <t>—</t>
        </is>
      </c>
      <c r="D20" s="3" t="inlineStr">
        <is>
          <t>sonnet</t>
        </is>
      </c>
      <c r="E20" s="3" t="inlineStr">
        <is>
          <t>C</t>
        </is>
      </c>
      <c r="F20" s="3" t="inlineStr">
        <is>
          <t>t1</t>
        </is>
      </c>
      <c r="G20" s="3" t="inlineStr">
        <is>
          <t>да</t>
        </is>
      </c>
      <c r="H20" s="3" t="n">
        <v>1.42</v>
      </c>
      <c r="I20" s="3" t="n"/>
      <c r="J20" s="3" t="inlineStr">
        <is>
          <t>н-д</t>
        </is>
      </c>
      <c r="K20" s="3" t="inlineStr">
        <is>
          <t>н-д</t>
        </is>
      </c>
      <c r="L20" s="3" t="inlineStr">
        <is>
          <t>29 ходов</t>
        </is>
      </c>
      <c r="M20" s="3" t="inlineStr">
        <is>
          <t>без тестов (kill н-п)</t>
        </is>
      </c>
      <c r="N20" s="3" t="inlineStr">
        <is>
          <t>per-task из t-166</t>
        </is>
      </c>
    </row>
    <row r="21">
      <c r="A21" s="3" t="inlineStr">
        <is>
          <t>№7</t>
        </is>
      </c>
      <c r="B21" s="3" t="inlineStr">
        <is>
          <t>07-16</t>
        </is>
      </c>
      <c r="C21" s="3" t="inlineStr">
        <is>
          <t>—</t>
        </is>
      </c>
      <c r="D21" s="3" t="inlineStr">
        <is>
          <t>sonnet</t>
        </is>
      </c>
      <c r="E21" s="3" t="inlineStr">
        <is>
          <t>C</t>
        </is>
      </c>
      <c r="F21" s="3" t="inlineStr">
        <is>
          <t>t2</t>
        </is>
      </c>
      <c r="G21" s="3" t="inlineStr">
        <is>
          <t>да</t>
        </is>
      </c>
      <c r="H21" s="3" t="n">
        <v>4.04</v>
      </c>
      <c r="I21" s="3" t="n"/>
      <c r="J21" s="3" t="inlineStr">
        <is>
          <t>н-д</t>
        </is>
      </c>
      <c r="K21" s="3" t="inlineStr">
        <is>
          <t>н-д</t>
        </is>
      </c>
      <c r="L21" s="3" t="inlineStr">
        <is>
          <t>69 ходов; 5 параллельных sonnet + opus-синтез</t>
        </is>
      </c>
      <c r="M21" s="3" t="inlineStr">
        <is>
          <t>stall 303s</t>
        </is>
      </c>
      <c r="N21" s="3" t="inlineStr"/>
    </row>
    <row r="22">
      <c r="A22" s="3" t="inlineStr">
        <is>
          <t>№7</t>
        </is>
      </c>
      <c r="B22" s="3" t="inlineStr">
        <is>
          <t>07-16</t>
        </is>
      </c>
      <c r="C22" s="3" t="inlineStr">
        <is>
          <t>—</t>
        </is>
      </c>
      <c r="D22" s="3" t="inlineStr">
        <is>
          <t>sonnet</t>
        </is>
      </c>
      <c r="E22" s="3" t="inlineStr">
        <is>
          <t>C</t>
        </is>
      </c>
      <c r="F22" s="3" t="inlineStr">
        <is>
          <t>t3</t>
        </is>
      </c>
      <c r="G22" s="3" t="inlineStr">
        <is>
          <t>да</t>
        </is>
      </c>
      <c r="H22" s="3" t="n">
        <v>1.67</v>
      </c>
      <c r="I22" s="3" t="n"/>
      <c r="J22" s="3" t="inlineStr">
        <is>
          <t>н-д</t>
        </is>
      </c>
      <c r="K22" s="3" t="inlineStr">
        <is>
          <t>н-д</t>
        </is>
      </c>
      <c r="L22" s="3" t="inlineStr">
        <is>
          <t>39 ходов</t>
        </is>
      </c>
      <c r="M22" s="3" t="inlineStr">
        <is>
          <t>M1 ВЫЖИЛ (kill 5/6)</t>
        </is>
      </c>
      <c r="N22" s="3" t="inlineStr">
        <is>
          <t>рубрика 6а C +2</t>
        </is>
      </c>
    </row>
    <row r="23">
      <c r="A23" s="4" t="inlineStr">
        <is>
          <t>№7</t>
        </is>
      </c>
      <c r="B23" s="4" t="inlineStr"/>
      <c r="C23" s="4" t="inlineStr"/>
      <c r="D23" s="4" t="inlineStr">
        <is>
          <t>sonnet</t>
        </is>
      </c>
      <c r="E23" s="4" t="inlineStr">
        <is>
          <t>C</t>
        </is>
      </c>
      <c r="F23" s="4" t="inlineStr">
        <is>
          <t>ИТОГ ПЛЕЧА</t>
        </is>
      </c>
      <c r="G23" s="4" t="inlineStr"/>
      <c r="H23" s="4">
        <f>SUM(H20:H22)</f>
        <v/>
      </c>
      <c r="I23" s="4">
        <f>SUM(I20:I22)</f>
        <v/>
      </c>
      <c r="J23" s="4">
        <f>ROUND(AVERAGE(J20:J22),2)</f>
        <v/>
      </c>
      <c r="K23" s="4">
        <f>IF(OR(J23="",J23=0),"н-д",ROUND(SUM(H20:H22)/J23,1))</f>
        <v/>
      </c>
      <c r="L23" s="4" t="inlineStr"/>
      <c r="M23" s="4" t="inlineStr"/>
      <c r="N23" s="4" t="inlineStr">
        <is>
          <t>сводный = среднее задачных; осевой метод Runs log: 0.52 (не переписан)</t>
        </is>
      </c>
    </row>
    <row r="24">
      <c r="A24" s="3" t="inlineStr">
        <is>
          <t>№8</t>
        </is>
      </c>
      <c r="B24" s="3" t="inlineStr">
        <is>
          <t>07-16</t>
        </is>
      </c>
      <c r="C24" s="3" t="inlineStr">
        <is>
          <t>kit v2 c3c267f</t>
        </is>
      </c>
      <c r="D24" s="3" t="inlineStr">
        <is>
          <t>sonnet</t>
        </is>
      </c>
      <c r="E24" s="3" t="inlineStr">
        <is>
          <t>Bdiet2</t>
        </is>
      </c>
      <c r="F24" s="3" t="inlineStr">
        <is>
          <t>агрегат 3 задач</t>
        </is>
      </c>
      <c r="G24" s="3" t="inlineStr">
        <is>
          <t>3/3</t>
        </is>
      </c>
      <c r="H24" s="3" t="n">
        <v>12.21</v>
      </c>
      <c r="I24" s="3" t="n">
        <v>8</v>
      </c>
      <c r="J24" s="3" t="n">
        <v>0.85</v>
      </c>
      <c r="K24" s="3">
        <f>IF(J24=0,"н-д (0)",ROUND(H24/J24,1))</f>
        <v/>
      </c>
      <c r="L24" s="3" t="inlineStr">
        <is>
          <t>делег. 62%; 1 критик/клетку (гейт)</t>
        </is>
      </c>
      <c r="M24" s="3" t="inlineStr">
        <is>
          <t>t2 сдан внешним артефактом (0 файлов); t1 kill 50%</t>
        </is>
      </c>
      <c r="N24" s="3" t="inlineStr">
        <is>
          <t>гейт удержал каденцию</t>
        </is>
      </c>
    </row>
    <row r="25">
      <c r="A25" s="3" t="inlineStr">
        <is>
          <t>№9</t>
        </is>
      </c>
      <c r="B25" s="3" t="inlineStr">
        <is>
          <t>07-16</t>
        </is>
      </c>
      <c r="C25" s="3" t="inlineStr">
        <is>
          <t>kit v3 61f3c8d</t>
        </is>
      </c>
      <c r="D25" s="3" t="inlineStr">
        <is>
          <t>sonnet</t>
        </is>
      </c>
      <c r="E25" s="3" t="inlineStr">
        <is>
          <t>Bdiet3</t>
        </is>
      </c>
      <c r="F25" s="3" t="inlineStr">
        <is>
          <t>агрегат 3 задач</t>
        </is>
      </c>
      <c r="G25" s="3" t="inlineStr">
        <is>
          <t>3/3</t>
        </is>
      </c>
      <c r="H25" s="3" t="n">
        <v>13.41</v>
      </c>
      <c r="I25" s="3" t="n">
        <v>12</v>
      </c>
      <c r="J25" s="3" t="n">
        <v>0.65</v>
      </c>
      <c r="K25" s="3">
        <f>IF(J25=0,"н-д (0)",ROUND(H25/J25,1))</f>
        <v/>
      </c>
      <c r="L25" s="3" t="inlineStr">
        <is>
          <t>делег. н-д</t>
        </is>
      </c>
      <c r="M25" s="3" t="inlineStr">
        <is>
          <t>t1: 2+2*2 -&gt; Error (парсер одной операции), тестов нет</t>
        </is>
      </c>
      <c r="N25" s="3" t="inlineStr">
        <is>
          <t>худшее качество серии; диета критика закрыта</t>
        </is>
      </c>
    </row>
    <row r="26">
      <c r="A26" s="3" t="inlineStr">
        <is>
          <t>№10</t>
        </is>
      </c>
      <c r="B26" s="3" t="inlineStr">
        <is>
          <t>07-16</t>
        </is>
      </c>
      <c r="C26" s="3" t="inlineStr">
        <is>
          <t>kit v4 (ГИБРИД)</t>
        </is>
      </c>
      <c r="D26" s="3" t="inlineStr">
        <is>
          <t>sonnet</t>
        </is>
      </c>
      <c r="E26" s="3" t="inlineStr">
        <is>
          <t>Bfg</t>
        </is>
      </c>
      <c r="F26" s="3" t="inlineStr">
        <is>
          <t>агрегат 3 задач</t>
        </is>
      </c>
      <c r="G26" s="3" t="inlineStr">
        <is>
          <t>3/3</t>
        </is>
      </c>
      <c r="H26" s="3" t="n">
        <v>6.03</v>
      </c>
      <c r="I26" s="3" t="n"/>
      <c r="J26" s="3" t="n">
        <v>0.85</v>
      </c>
      <c r="K26" s="3">
        <f>IF(J26=0,"н-д (0)",ROUND(H26/J26,1))</f>
        <v/>
      </c>
      <c r="L26" s="3" t="inlineStr">
        <is>
          <t>делег. н-д</t>
        </is>
      </c>
      <c r="M26" s="3" t="inlineStr">
        <is>
          <t>стейл диет-critic.md (defect_found t-155)</t>
        </is>
      </c>
      <c r="N26" s="3" t="inlineStr">
        <is>
          <t>лучший F 7.1, но конфигурация скомпрометирована</t>
        </is>
      </c>
    </row>
    <row r="27">
      <c r="A27" s="3" t="inlineStr">
        <is>
          <t>№10б</t>
        </is>
      </c>
      <c r="B27" s="3" t="inlineStr">
        <is>
          <t>07-16</t>
        </is>
      </c>
      <c r="C27" s="3" t="inlineStr">
        <is>
          <t>kit v4.1 42b6812</t>
        </is>
      </c>
      <c r="D27" s="3" t="inlineStr">
        <is>
          <t>sonnet</t>
        </is>
      </c>
      <c r="E27" s="3" t="inlineStr">
        <is>
          <t>Bfg2</t>
        </is>
      </c>
      <c r="F27" s="3" t="inlineStr">
        <is>
          <t>агрегат 3 задач</t>
        </is>
      </c>
      <c r="G27" s="3" t="inlineStr">
        <is>
          <t>3/3</t>
        </is>
      </c>
      <c r="H27" s="3" t="n">
        <v>15.79</v>
      </c>
      <c r="I27" s="3" t="n"/>
      <c r="J27" s="3" t="n">
        <v>0.62</v>
      </c>
      <c r="K27" s="3">
        <f>IF(J27=0,"н-д (0)",ROUND(H27/J27,1))</f>
        <v/>
      </c>
      <c r="L27" s="3" t="inlineStr">
        <is>
          <t>делег. н-д</t>
        </is>
      </c>
      <c r="M27" s="3" t="inlineStr">
        <is>
          <t>t1 веб без тестов; скобки молча неверно</t>
        </is>
      </c>
      <c r="N27" s="3" t="inlineStr">
        <is>
          <t>дисперсия x2.6 к №10</t>
        </is>
      </c>
    </row>
    <row r="28">
      <c r="A28" s="3" t="inlineStr">
        <is>
          <t>№11</t>
        </is>
      </c>
      <c r="B28" s="3" t="inlineStr">
        <is>
          <t>07-16</t>
        </is>
      </c>
      <c r="C28" s="3" t="inlineStr">
        <is>
          <t>kit v5.1 cbd5cd1</t>
        </is>
      </c>
      <c r="D28" s="3" t="inlineStr">
        <is>
          <t>sonnet</t>
        </is>
      </c>
      <c r="E28" s="3" t="inlineStr">
        <is>
          <t>Bfg3</t>
        </is>
      </c>
      <c r="F28" s="3" t="inlineStr">
        <is>
          <t>t1</t>
        </is>
      </c>
      <c r="G28" s="3" t="inlineStr">
        <is>
          <t>да</t>
        </is>
      </c>
      <c r="H28" s="3" t="n">
        <v>5.8</v>
      </c>
      <c r="I28" s="3" t="n">
        <v>30.2</v>
      </c>
      <c r="J28" s="3" t="n">
        <v>0.86</v>
      </c>
      <c r="K28" s="3">
        <f>IF(J28=0,"н-д (0)",ROUND(H28/J28,1))</f>
        <v/>
      </c>
      <c r="L28" s="3" t="inlineStr">
        <is>
          <t>main:sonnet=41; side: opus=66 haiku=58 sonnet=60 fable=10 (7 аг.)</t>
        </is>
      </c>
      <c r="M28" s="3" t="inlineStr">
        <is>
          <t>kill 4/6: M3 (defense-in-depth), M6 граница MAX_INPUT_LEN без теста</t>
        </is>
      </c>
      <c r="N28" s="3" t="inlineStr">
        <is>
          <t>44 теста; композиты/DoS чисто</t>
        </is>
      </c>
    </row>
    <row r="29">
      <c r="A29" s="3" t="inlineStr">
        <is>
          <t>№11</t>
        </is>
      </c>
      <c r="B29" s="3" t="inlineStr">
        <is>
          <t>07-16</t>
        </is>
      </c>
      <c r="C29" s="3" t="inlineStr">
        <is>
          <t>kit v5.1 cbd5cd1</t>
        </is>
      </c>
      <c r="D29" s="3" t="inlineStr">
        <is>
          <t>sonnet</t>
        </is>
      </c>
      <c r="E29" s="3" t="inlineStr">
        <is>
          <t>Bfg3</t>
        </is>
      </c>
      <c r="F29" s="3" t="inlineStr">
        <is>
          <t>t2</t>
        </is>
      </c>
      <c r="G29" s="3" t="inlineStr">
        <is>
          <t>да</t>
        </is>
      </c>
      <c r="H29" s="3" t="n">
        <v>3.81</v>
      </c>
      <c r="I29" s="3" t="n">
        <v>18.8</v>
      </c>
      <c r="J29" s="3" t="n">
        <v>0.92</v>
      </c>
      <c r="K29" s="3">
        <f>IF(J29=0,"н-д (0)",ROUND(H29/J29,1))</f>
        <v/>
      </c>
      <c r="L29" s="3" t="inlineStr">
        <is>
          <t>main:sonnet=60; side: haiku=59 opus=28 fable=14 (3 аг.)</t>
        </is>
      </c>
      <c r="M29" s="3" t="inlineStr">
        <is>
          <t>red-run не повторён (флаг); снимок разошёлся (+отчёт после)</t>
        </is>
      </c>
      <c r="N29" s="3" t="inlineStr">
        <is>
          <t>C-ось н-п (разведка)</t>
        </is>
      </c>
    </row>
    <row r="30">
      <c r="A30" s="3" t="inlineStr">
        <is>
          <t>№11</t>
        </is>
      </c>
      <c r="B30" s="3" t="inlineStr">
        <is>
          <t>07-16</t>
        </is>
      </c>
      <c r="C30" s="3" t="inlineStr">
        <is>
          <t>kit v5.1 cbd5cd1</t>
        </is>
      </c>
      <c r="D30" s="3" t="inlineStr">
        <is>
          <t>sonnet</t>
        </is>
      </c>
      <c r="E30" s="3" t="inlineStr">
        <is>
          <t>Bfg3</t>
        </is>
      </c>
      <c r="F30" s="3" t="inlineStr">
        <is>
          <t>t3</t>
        </is>
      </c>
      <c r="G30" s="3" t="inlineStr">
        <is>
          <t>да</t>
        </is>
      </c>
      <c r="H30" s="3" t="n">
        <v>2.2</v>
      </c>
      <c r="I30" s="3" t="n">
        <v>12.5</v>
      </c>
      <c r="J30" s="3" t="n">
        <v>0.9399999999999999</v>
      </c>
      <c r="K30" s="3">
        <f>IF(J30=0,"н-д (0)",ROUND(H30/J30,1))</f>
        <v/>
      </c>
      <c r="L30" s="3" t="inlineStr">
        <is>
          <t>main:sonnet=43; side: haiku=50 opus=17 sonnet=22 (3 аг.)</t>
        </is>
      </c>
      <c r="M30" s="3" t="inlineStr">
        <is>
          <t>журнал t3 с дефектами формата</t>
        </is>
      </c>
      <c r="N30" s="3" t="inlineStr">
        <is>
          <t>kill 6/6 — класс M1 закрыт</t>
        </is>
      </c>
    </row>
    <row r="31">
      <c r="A31" s="4" t="inlineStr">
        <is>
          <t>№11</t>
        </is>
      </c>
      <c r="B31" s="4" t="inlineStr"/>
      <c r="C31" s="4" t="inlineStr"/>
      <c r="D31" s="4" t="inlineStr">
        <is>
          <t>sonnet</t>
        </is>
      </c>
      <c r="E31" s="4" t="inlineStr">
        <is>
          <t>Bfg3</t>
        </is>
      </c>
      <c r="F31" s="4" t="inlineStr">
        <is>
          <t>ИТОГ ПЛЕЧА</t>
        </is>
      </c>
      <c r="G31" s="4" t="inlineStr"/>
      <c r="H31" s="4">
        <f>SUM(H28:H30)</f>
        <v/>
      </c>
      <c r="I31" s="4">
        <f>SUM(I28:I30)</f>
        <v/>
      </c>
      <c r="J31" s="4">
        <f>ROUND(AVERAGE(J28:J30),2)</f>
        <v/>
      </c>
      <c r="K31" s="4">
        <f>IF(OR(J31="",J31=0),"н-д",ROUND(SUM(H28:H30)/J31,1))</f>
        <v/>
      </c>
      <c r="L31" s="4" t="inlineStr"/>
      <c r="M31" s="4" t="inlineStr"/>
      <c r="N31" s="4" t="inlineStr">
        <is>
          <t>сводный = среднее задачных; осевой метод Runs log: 0.88 (не переписан)</t>
        </is>
      </c>
    </row>
    <row r="32">
      <c r="A32" s="3" t="inlineStr">
        <is>
          <t>№12</t>
        </is>
      </c>
      <c r="B32" s="3" t="inlineStr">
        <is>
          <t>07-18</t>
        </is>
      </c>
      <c r="C32" s="3" t="inlineStr">
        <is>
          <t>kit v5.1 (ПИН)</t>
        </is>
      </c>
      <c r="D32" s="3" t="inlineStr">
        <is>
          <t>fable</t>
        </is>
      </c>
      <c r="E32" s="3" t="inlineStr">
        <is>
          <t>Ffg1</t>
        </is>
      </c>
      <c r="F32" s="3" t="inlineStr">
        <is>
          <t>t1</t>
        </is>
      </c>
      <c r="G32" s="3" t="inlineStr">
        <is>
          <t>да</t>
        </is>
      </c>
      <c r="H32" s="3" t="n">
        <v>12.28</v>
      </c>
      <c r="I32" s="3" t="n">
        <v>18.2</v>
      </c>
      <c r="J32" s="3" t="n">
        <v>0.92</v>
      </c>
      <c r="K32" s="3">
        <f>IF(J32=0,"н-д (0)",ROUND(H32/J32,1))</f>
        <v/>
      </c>
      <c r="L32" s="3" t="inlineStr">
        <is>
          <t>main:fable=115; side: opus=68 sonnet=56 fable=3 (5 аг.)</t>
        </is>
      </c>
      <c r="M32" s="3" t="inlineStr">
        <is>
          <t>kill 5/6: M6 граница MAX_DEPTH без теста (3-й повтор класса)</t>
        </is>
      </c>
      <c r="N32" s="3" t="inlineStr">
        <is>
          <t>33 теста; полный цикл defect_found по принятой + эскалация на opus</t>
        </is>
      </c>
    </row>
    <row r="33">
      <c r="A33" s="3" t="inlineStr">
        <is>
          <t>№12</t>
        </is>
      </c>
      <c r="B33" s="3" t="inlineStr">
        <is>
          <t>07-18</t>
        </is>
      </c>
      <c r="C33" s="3" t="inlineStr">
        <is>
          <t>kit v5.1 (ПИН)</t>
        </is>
      </c>
      <c r="D33" s="3" t="inlineStr">
        <is>
          <t>fable</t>
        </is>
      </c>
      <c r="E33" s="3" t="inlineStr">
        <is>
          <t>Ffg1</t>
        </is>
      </c>
      <c r="F33" s="3" t="inlineStr">
        <is>
          <t>t2</t>
        </is>
      </c>
      <c r="G33" s="3" t="inlineStr">
        <is>
          <t>да</t>
        </is>
      </c>
      <c r="H33" s="3" t="n">
        <v>7.64</v>
      </c>
      <c r="I33" s="3" t="n">
        <v>13.8</v>
      </c>
      <c r="J33" s="3" t="n">
        <v>0.93</v>
      </c>
      <c r="K33" s="3">
        <f>IF(J33=0,"н-д (0)",ROUND(H33/J33,1))</f>
        <v/>
      </c>
      <c r="L33" s="3" t="inlineStr">
        <is>
          <t>main:fable=93; side: haiku=85 opus=28 (3 аг.)</t>
        </is>
      </c>
      <c r="M33" s="3" t="inlineStr">
        <is>
          <t>3 range-неточности из 40 file:line (37/40 точны)</t>
        </is>
      </c>
      <c r="N33" s="3" t="inlineStr">
        <is>
          <t>единств. клетка №12 с чистым журналом; C-ось н-п</t>
        </is>
      </c>
    </row>
    <row r="34">
      <c r="A34" s="3" t="inlineStr">
        <is>
          <t>№12</t>
        </is>
      </c>
      <c r="B34" s="3" t="inlineStr">
        <is>
          <t>07-18</t>
        </is>
      </c>
      <c r="C34" s="3" t="inlineStr">
        <is>
          <t>kit v5.1 (ПИН)</t>
        </is>
      </c>
      <c r="D34" s="3" t="inlineStr">
        <is>
          <t>fable</t>
        </is>
      </c>
      <c r="E34" s="3" t="inlineStr">
        <is>
          <t>Ffg1</t>
        </is>
      </c>
      <c r="F34" s="3" t="inlineStr">
        <is>
          <t>t3</t>
        </is>
      </c>
      <c r="G34" s="3" t="inlineStr">
        <is>
          <t>да</t>
        </is>
      </c>
      <c r="H34" s="3" t="n">
        <v>7.46</v>
      </c>
      <c r="I34" s="3" t="n">
        <v>16.6</v>
      </c>
      <c r="J34" s="3" t="n">
        <v>0.9399999999999999</v>
      </c>
      <c r="K34" s="3">
        <f>IF(J34=0,"н-д (0)",ROUND(H34/J34,1))</f>
        <v/>
      </c>
      <c r="L34" s="3" t="inlineStr">
        <is>
          <t>main:fable=77; side: opus=37 haiku=31 sonnet=28 (4 аг.)</t>
        </is>
      </c>
      <c r="M34" s="3" t="inlineStr">
        <is>
          <t>2 дефекта формата журнала</t>
        </is>
      </c>
      <c r="N34" s="3" t="inlineStr">
        <is>
          <t>kill 6/6 вкл. M1</t>
        </is>
      </c>
    </row>
    <row r="35">
      <c r="A35" s="4" t="inlineStr">
        <is>
          <t>№12</t>
        </is>
      </c>
      <c r="B35" s="4" t="inlineStr"/>
      <c r="C35" s="4" t="inlineStr"/>
      <c r="D35" s="4" t="inlineStr">
        <is>
          <t>fable</t>
        </is>
      </c>
      <c r="E35" s="4" t="inlineStr">
        <is>
          <t>Ffg1</t>
        </is>
      </c>
      <c r="F35" s="4" t="inlineStr">
        <is>
          <t>ИТОГ ПЛЕЧА</t>
        </is>
      </c>
      <c r="G35" s="4" t="inlineStr"/>
      <c r="H35" s="4">
        <f>SUM(H32:H34)</f>
        <v/>
      </c>
      <c r="I35" s="4">
        <f>SUM(I32:I34)</f>
        <v/>
      </c>
      <c r="J35" s="4">
        <f>ROUND(AVERAGE(J32:J34),2)</f>
        <v/>
      </c>
      <c r="K35" s="4">
        <f>IF(OR(J35="",J35=0),"н-д",ROUND(SUM(H32:H34)/J35,1))</f>
        <v/>
      </c>
      <c r="L35" s="4" t="inlineStr"/>
      <c r="M35" s="4" t="inlineStr"/>
      <c r="N35" s="4" t="inlineStr">
        <is>
          <t>сводный = среднее задачных; осевой метод Runs log: 0.95 (не переписан)</t>
        </is>
      </c>
    </row>
    <row r="36">
      <c r="A36" s="3" t="inlineStr">
        <is>
          <t>№13</t>
        </is>
      </c>
      <c r="B36" s="3" t="inlineStr">
        <is>
          <t>07-18</t>
        </is>
      </c>
      <c r="C36" s="3" t="inlineStr">
        <is>
          <t>kit v5.2.1 = штаб 507ec18</t>
        </is>
      </c>
      <c r="D36" s="3" t="inlineStr">
        <is>
          <t>sonnet</t>
        </is>
      </c>
      <c r="E36" s="3" t="inlineStr">
        <is>
          <t>A</t>
        </is>
      </c>
      <c r="F36" s="3" t="inlineStr">
        <is>
          <t>t1</t>
        </is>
      </c>
      <c r="G36" s="3" t="inlineStr">
        <is>
          <t>да (вердикт опер.)</t>
        </is>
      </c>
      <c r="H36" s="3" t="n">
        <v>0.61</v>
      </c>
      <c r="I36" s="3" t="n">
        <v>1.4</v>
      </c>
      <c r="J36" s="3" t="n">
        <v>0.48</v>
      </c>
      <c r="K36" s="3">
        <f>IF(J36=0,"н-д (0)",ROUND(H36/J36,1))</f>
        <v/>
      </c>
      <c r="L36" s="3" t="inlineStr">
        <is>
          <t>main:sonnet=10; side: fable=2 (1 аг. — прокси)</t>
        </is>
      </c>
      <c r="M36" s="3" t="inlineStr">
        <is>
          <t>БАГ: Enter = сброс вместо результата (вождение оператора); тестов нет</t>
        </is>
      </c>
      <c r="N36" s="3" t="inlineStr">
        <is>
          <t>кнопочная модель ЗАСЧИТАНА вердиктом оператора 07-18 («А чуть меньше по качеству» — Enter-баг)</t>
        </is>
      </c>
    </row>
    <row r="37">
      <c r="A37" s="3" t="inlineStr">
        <is>
          <t>№13</t>
        </is>
      </c>
      <c r="B37" s="3" t="inlineStr">
        <is>
          <t>07-18</t>
        </is>
      </c>
      <c r="C37" s="3" t="inlineStr">
        <is>
          <t>kit v5.2.1</t>
        </is>
      </c>
      <c r="D37" s="3" t="inlineStr">
        <is>
          <t>sonnet</t>
        </is>
      </c>
      <c r="E37" s="3" t="inlineStr">
        <is>
          <t>A</t>
        </is>
      </c>
      <c r="F37" s="3" t="inlineStr">
        <is>
          <t>t2</t>
        </is>
      </c>
      <c r="G37" s="3" t="inlineStr">
        <is>
          <t>да</t>
        </is>
      </c>
      <c r="H37" s="3" t="n">
        <v>2.22</v>
      </c>
      <c r="I37" s="3" t="n">
        <v>6.9</v>
      </c>
      <c r="J37" s="3" t="n">
        <v>0.85</v>
      </c>
      <c r="K37" s="3">
        <f>IF(J37=0,"н-д (0)",ROUND(H37/J37,1))</f>
        <v/>
      </c>
      <c r="L37" s="3" t="inlineStr">
        <is>
          <t>main:sonnet=64; side: sonnet=51 fable=2 (2 аг.)</t>
        </is>
      </c>
      <c r="M37" s="3" t="inlineStr">
        <is>
          <t>0 (40/40 file:line точны); деливерабл — внешний артефакт</t>
        </is>
      </c>
      <c r="N37" s="3" t="inlineStr">
        <is>
          <t>C-ось н-п</t>
        </is>
      </c>
    </row>
    <row r="38">
      <c r="A38" s="3" t="inlineStr">
        <is>
          <t>№13</t>
        </is>
      </c>
      <c r="B38" s="3" t="inlineStr">
        <is>
          <t>07-18</t>
        </is>
      </c>
      <c r="C38" s="3" t="inlineStr">
        <is>
          <t>kit v5.2.1</t>
        </is>
      </c>
      <c r="D38" s="3" t="inlineStr">
        <is>
          <t>sonnet</t>
        </is>
      </c>
      <c r="E38" s="3" t="inlineStr">
        <is>
          <t>A</t>
        </is>
      </c>
      <c r="F38" s="3" t="inlineStr">
        <is>
          <t>t3</t>
        </is>
      </c>
      <c r="G38" s="3" t="inlineStr">
        <is>
          <t>да</t>
        </is>
      </c>
      <c r="H38" s="3" t="n">
        <v>0.53</v>
      </c>
      <c r="I38" s="3" t="n">
        <v>1.6</v>
      </c>
      <c r="J38" s="3" t="n">
        <v>0.65</v>
      </c>
      <c r="K38" s="3">
        <f>IF(J38=0,"н-д (0)",ROUND(H38/J38,1))</f>
        <v/>
      </c>
      <c r="L38" s="3" t="inlineStr">
        <is>
          <t>main:sonnet=20; side: fable=2 (1 аг.)</t>
        </is>
      </c>
      <c r="M38" s="3" t="inlineStr">
        <is>
          <t>тестов нет (C=0); класс закрыт поведенчески (стабильные id)</t>
        </is>
      </c>
      <c r="N38" s="3" t="inlineStr"/>
    </row>
    <row r="39">
      <c r="A39" s="4" t="inlineStr">
        <is>
          <t>№13</t>
        </is>
      </c>
      <c r="B39" s="4" t="inlineStr"/>
      <c r="C39" s="4" t="inlineStr"/>
      <c r="D39" s="4" t="inlineStr">
        <is>
          <t>sonnet</t>
        </is>
      </c>
      <c r="E39" s="4" t="inlineStr">
        <is>
          <t>A</t>
        </is>
      </c>
      <c r="F39" s="4" t="inlineStr">
        <is>
          <t>ИТОГ ПЛЕЧА</t>
        </is>
      </c>
      <c r="G39" s="4" t="inlineStr"/>
      <c r="H39" s="4">
        <f>SUM(H36:H38)</f>
        <v/>
      </c>
      <c r="I39" s="4">
        <f>SUM(I36:I38)</f>
        <v/>
      </c>
      <c r="J39" s="4">
        <f>ROUND(AVERAGE(J36:J38),2)</f>
        <v/>
      </c>
      <c r="K39" s="4">
        <f>IF(OR(J39="",J39=0),"н-д",ROUND(SUM(H36:H38)/J39,1))</f>
        <v/>
      </c>
      <c r="L39" s="4" t="inlineStr"/>
      <c r="M39" s="4" t="inlineStr"/>
      <c r="N39" s="4" t="inlineStr">
        <is>
          <t>сводный = среднее задачных; осевой метод Runs log: 0.60* (не переписан)</t>
        </is>
      </c>
    </row>
    <row r="40">
      <c r="A40" s="3" t="inlineStr">
        <is>
          <t>№13</t>
        </is>
      </c>
      <c r="B40" s="3" t="inlineStr">
        <is>
          <t>07-18</t>
        </is>
      </c>
      <c r="C40" s="3" t="inlineStr">
        <is>
          <t>kit v5.2.1</t>
        </is>
      </c>
      <c r="D40" s="3" t="inlineStr">
        <is>
          <t>sonnet</t>
        </is>
      </c>
      <c r="E40" s="3" t="inlineStr">
        <is>
          <t>Bfg4</t>
        </is>
      </c>
      <c r="F40" s="3" t="inlineStr">
        <is>
          <t>t1</t>
        </is>
      </c>
      <c r="G40" s="3" t="inlineStr">
        <is>
          <t>да</t>
        </is>
      </c>
      <c r="H40" s="3" t="n">
        <v>9.84</v>
      </c>
      <c r="I40" s="3" t="n">
        <v>37.5</v>
      </c>
      <c r="J40" s="3" t="n">
        <v>0.91</v>
      </c>
      <c r="K40" s="3">
        <f>IF(J40=0,"н-д (0)",ROUND(H40/J40,1))</f>
        <v/>
      </c>
      <c r="L40" s="3" t="inlineStr">
        <is>
          <t>main:sonnet=105; side: opus=101 sonnet=84 haiku=40 fable=33 (10 аг.)</t>
        </is>
      </c>
      <c r="M40" s="3" t="inlineStr">
        <is>
          <t>kill 5/6: M6 граница MAX_NESTING_DEPTH (4-й повтор); арабские цифры молча приняты (без теста)</t>
        </is>
      </c>
      <c r="N40" s="3" t="inlineStr">
        <is>
          <t>46 тестов; оператора ** нет (DoS-ключи moot)</t>
        </is>
      </c>
    </row>
    <row r="41">
      <c r="A41" s="3" t="inlineStr">
        <is>
          <t>№13</t>
        </is>
      </c>
      <c r="B41" s="3" t="inlineStr">
        <is>
          <t>07-18</t>
        </is>
      </c>
      <c r="C41" s="3" t="inlineStr">
        <is>
          <t>kit v5.2.1</t>
        </is>
      </c>
      <c r="D41" s="3" t="inlineStr">
        <is>
          <t>sonnet</t>
        </is>
      </c>
      <c r="E41" s="3" t="inlineStr">
        <is>
          <t>Bfg4</t>
        </is>
      </c>
      <c r="F41" s="3" t="inlineStr">
        <is>
          <t>t2</t>
        </is>
      </c>
      <c r="G41" s="3" t="inlineStr">
        <is>
          <t>да</t>
        </is>
      </c>
      <c r="H41" s="3" t="n">
        <v>5.79</v>
      </c>
      <c r="I41" s="3" t="n">
        <v>35.1</v>
      </c>
      <c r="J41" s="3" t="n">
        <v>0.97</v>
      </c>
      <c r="K41" s="3">
        <f>IF(J41=0,"н-д (0)",ROUND(H41/J41,1))</f>
        <v/>
      </c>
      <c r="L41" s="3" t="inlineStr">
        <is>
          <t>main:sonnet=86; side: haiku=77 opus=48 fable=2 (5 аг.)</t>
        </is>
      </c>
      <c r="M41" s="3" t="inlineStr">
        <is>
          <t>1 само-противоречивое утверждение (43/44 точны)</t>
        </is>
      </c>
      <c r="N41" s="3" t="inlineStr">
        <is>
          <t>stall 306s; чистый журнал; C-ось н-п</t>
        </is>
      </c>
    </row>
    <row r="42">
      <c r="A42" s="3" t="inlineStr">
        <is>
          <t>№13</t>
        </is>
      </c>
      <c r="B42" s="3" t="inlineStr">
        <is>
          <t>07-18</t>
        </is>
      </c>
      <c r="C42" s="3" t="inlineStr">
        <is>
          <t>kit v5.2.1</t>
        </is>
      </c>
      <c r="D42" s="3" t="inlineStr">
        <is>
          <t>sonnet</t>
        </is>
      </c>
      <c r="E42" s="3" t="inlineStr">
        <is>
          <t>Bfg4</t>
        </is>
      </c>
      <c r="F42" s="3" t="inlineStr">
        <is>
          <t>t3</t>
        </is>
      </c>
      <c r="G42" s="3" t="inlineStr">
        <is>
          <t>да</t>
        </is>
      </c>
      <c r="H42" s="3" t="n">
        <v>2.4</v>
      </c>
      <c r="I42" s="3" t="n">
        <v>10.9</v>
      </c>
      <c r="J42" s="3" t="n">
        <v>0.97</v>
      </c>
      <c r="K42" s="3">
        <f>IF(J42=0,"н-д (0)",ROUND(H42/J42,1))</f>
        <v/>
      </c>
      <c r="L42" s="3" t="inlineStr">
        <is>
          <t>main:sonnet=42; side: sonnet=28 opus=17 fable=5 (3 аг.)</t>
        </is>
      </c>
      <c r="M42" s="3" t="inlineStr">
        <is>
          <t>1 дефект журнала (хвостовые пустые строки)</t>
        </is>
      </c>
      <c r="N42" s="3" t="inlineStr">
        <is>
          <t>kill 6/6 вкл. M1; снимок критика СОВПАЛ (первый за серию)</t>
        </is>
      </c>
    </row>
    <row r="43">
      <c r="A43" s="4" t="inlineStr">
        <is>
          <t>№13</t>
        </is>
      </c>
      <c r="B43" s="4" t="inlineStr"/>
      <c r="C43" s="4" t="inlineStr"/>
      <c r="D43" s="4" t="inlineStr">
        <is>
          <t>sonnet</t>
        </is>
      </c>
      <c r="E43" s="4" t="inlineStr">
        <is>
          <t>Bfg4</t>
        </is>
      </c>
      <c r="F43" s="4" t="inlineStr">
        <is>
          <t>ИТОГ ПЛЕЧА</t>
        </is>
      </c>
      <c r="G43" s="4" t="inlineStr"/>
      <c r="H43" s="4">
        <f>SUM(H40:H42)</f>
        <v/>
      </c>
      <c r="I43" s="4">
        <f>SUM(I40:I42)</f>
        <v/>
      </c>
      <c r="J43" s="4">
        <f>ROUND(AVERAGE(J40:J42),2)</f>
        <v/>
      </c>
      <c r="K43" s="4">
        <f>IF(OR(J43="",J43=0),"н-д",ROUND(SUM(H40:H42)/J43,1))</f>
        <v/>
      </c>
      <c r="L43" s="4" t="inlineStr"/>
      <c r="M43" s="4" t="inlineStr"/>
      <c r="N43" s="4" t="inlineStr">
        <is>
          <t>сводный = среднее задачных; осевой метод Runs log: 0.94 (не переписан)</t>
        </is>
      </c>
    </row>
    <row r="44">
      <c r="A44" s="3" t="inlineStr">
        <is>
          <t>№13</t>
        </is>
      </c>
      <c r="B44" s="3" t="inlineStr">
        <is>
          <t>07-18</t>
        </is>
      </c>
      <c r="C44" s="3" t="inlineStr">
        <is>
          <t>kit v5.2.1</t>
        </is>
      </c>
      <c r="D44" s="3" t="inlineStr">
        <is>
          <t>sonnet</t>
        </is>
      </c>
      <c r="E44" s="3" t="inlineStr">
        <is>
          <t>C</t>
        </is>
      </c>
      <c r="F44" s="3" t="inlineStr">
        <is>
          <t>t1</t>
        </is>
      </c>
      <c r="G44" s="3" t="inlineStr">
        <is>
          <t>да</t>
        </is>
      </c>
      <c r="H44" s="3" t="n">
        <v>1.44</v>
      </c>
      <c r="I44" s="3" t="n">
        <v>7.3</v>
      </c>
      <c r="J44" s="3" t="n">
        <v>0.35</v>
      </c>
      <c r="K44" s="3">
        <f>IF(J44=0,"н-д (0)",ROUND(H44/J44,1))</f>
        <v/>
      </c>
      <c r="L44" s="3" t="inlineStr">
        <is>
          <t>main:sonnet=12; side: sonnet=44 opus=9 fable=2 (5 аг.)</t>
        </is>
      </c>
      <c r="M44" s="3" t="inlineStr">
        <is>
          <t>КЛЮЧ ПРИОРИТЕТОВ ПРОВАЛЕН (2+2*2 -&gt; Error); NUL-байт — тихая потеря строки; тестов нет</t>
        </is>
      </c>
      <c r="N44" s="3" t="inlineStr">
        <is>
          <t>компилируемый C, однооперационный парсер</t>
        </is>
      </c>
    </row>
    <row r="45">
      <c r="A45" s="3" t="inlineStr">
        <is>
          <t>№13</t>
        </is>
      </c>
      <c r="B45" s="3" t="inlineStr">
        <is>
          <t>07-18</t>
        </is>
      </c>
      <c r="C45" s="3" t="inlineStr">
        <is>
          <t>kit v5.2.1</t>
        </is>
      </c>
      <c r="D45" s="3" t="inlineStr">
        <is>
          <t>sonnet</t>
        </is>
      </c>
      <c r="E45" s="3" t="inlineStr">
        <is>
          <t>C</t>
        </is>
      </c>
      <c r="F45" s="3" t="inlineStr">
        <is>
          <t>t2</t>
        </is>
      </c>
      <c r="G45" s="3" t="inlineStr">
        <is>
          <t>НЕТ</t>
        </is>
      </c>
      <c r="H45" s="3" t="n">
        <v>3.38</v>
      </c>
      <c r="I45" s="3" t="n">
        <v>13.1</v>
      </c>
      <c r="J45" s="3" t="n">
        <v>0</v>
      </c>
      <c r="K45" s="3">
        <f>IF(J45=0,"н-д (0)",ROUND(H45/J45,1))</f>
        <v/>
      </c>
      <c r="L45" s="3" t="inlineStr">
        <is>
          <t>main:sonnet=19; side: sonnet=117 (14 аг.)</t>
        </is>
      </c>
      <c r="M45" s="3" t="inlineStr">
        <is>
          <t>ДЕЛИВЕРАБЛ НЕ СУЩЕСТВУЕТ (workflow-воркер killed)</t>
        </is>
      </c>
      <c r="N45" s="3" t="inlineStr">
        <is>
          <t>непринятая задача — все оси 0</t>
        </is>
      </c>
    </row>
    <row r="46">
      <c r="A46" s="3" t="inlineStr">
        <is>
          <t>№13</t>
        </is>
      </c>
      <c r="B46" s="3" t="inlineStr">
        <is>
          <t>07-18</t>
        </is>
      </c>
      <c r="C46" s="3" t="inlineStr">
        <is>
          <t>kit v5.2.1</t>
        </is>
      </c>
      <c r="D46" s="3" t="inlineStr">
        <is>
          <t>sonnet</t>
        </is>
      </c>
      <c r="E46" s="3" t="inlineStr">
        <is>
          <t>C</t>
        </is>
      </c>
      <c r="F46" s="3" t="inlineStr">
        <is>
          <t>t3</t>
        </is>
      </c>
      <c r="G46" s="3" t="inlineStr">
        <is>
          <t>да</t>
        </is>
      </c>
      <c r="H46" s="3" t="n">
        <v>2.2</v>
      </c>
      <c r="I46" s="3" t="n">
        <v>9.1</v>
      </c>
      <c r="J46" s="3" t="n">
        <v>0.83</v>
      </c>
      <c r="K46" s="3">
        <f>IF(J46=0,"н-д (0)",ROUND(H46/J46,1))</f>
        <v/>
      </c>
      <c r="L46" s="3" t="inlineStr">
        <is>
          <t>main:sonnet=30; side: opus=23 sonnet=25 fable=2 (7 аг.)</t>
        </is>
      </c>
      <c r="M46" s="3" t="inlineStr">
        <is>
          <t>kill 4/5 (1 мутация выжила)</t>
        </is>
      </c>
      <c r="N46" s="3" t="inlineStr">
        <is>
          <t>11 unittest</t>
        </is>
      </c>
    </row>
    <row r="47">
      <c r="A47" s="4" t="inlineStr">
        <is>
          <t>№13</t>
        </is>
      </c>
      <c r="B47" s="4" t="inlineStr"/>
      <c r="C47" s="4" t="inlineStr"/>
      <c r="D47" s="4" t="inlineStr">
        <is>
          <t>sonnet</t>
        </is>
      </c>
      <c r="E47" s="4" t="inlineStr">
        <is>
          <t>C</t>
        </is>
      </c>
      <c r="F47" s="4" t="inlineStr">
        <is>
          <t>ИТОГ ПЛЕЧА</t>
        </is>
      </c>
      <c r="G47" s="4" t="inlineStr"/>
      <c r="H47" s="4">
        <f>SUM(H44:H46)</f>
        <v/>
      </c>
      <c r="I47" s="4">
        <f>SUM(I44:I46)</f>
        <v/>
      </c>
      <c r="J47" s="4">
        <f>ROUND(AVERAGE(J44:J46),2)</f>
        <v/>
      </c>
      <c r="K47" s="4">
        <f>IF(OR(J47="",J47=0),"н-д",ROUND(SUM(H44:H46)/J47,1))</f>
        <v/>
      </c>
      <c r="L47" s="4" t="inlineStr"/>
      <c r="M47" s="4" t="inlineStr"/>
      <c r="N47" s="4" t="inlineStr">
        <is>
          <t>сводный = среднее задачных; осевой метод Runs log: 0.52 (не переписан)</t>
        </is>
      </c>
    </row>
    <row r="48">
      <c r="A48" s="3" t="inlineStr">
        <is>
          <t>№13c2</t>
        </is>
      </c>
      <c r="B48" s="3" t="inlineStr">
        <is>
          <t>07-18</t>
        </is>
      </c>
      <c r="C48" s="3" t="inlineStr">
        <is>
          <t>kit v5.2.1</t>
        </is>
      </c>
      <c r="D48" s="3" t="inlineStr">
        <is>
          <t>sonnet</t>
        </is>
      </c>
      <c r="E48" s="3" t="inlineStr">
        <is>
          <t>C2</t>
        </is>
      </c>
      <c r="F48" s="3" t="inlineStr">
        <is>
          <t>t1</t>
        </is>
      </c>
      <c r="G48" s="3" t="inlineStr">
        <is>
          <t>да (вердикт опер.)</t>
        </is>
      </c>
      <c r="H48" s="3" t="n">
        <v>1.4</v>
      </c>
      <c r="I48" s="3" t="n">
        <v>7.3</v>
      </c>
      <c r="J48" s="3" t="n">
        <v>0.55</v>
      </c>
      <c r="K48" s="3">
        <f>IF(J48=0,"н-д (0)",ROUND(H48/J48,1))</f>
        <v/>
      </c>
      <c r="L48" s="3" t="inlineStr">
        <is>
          <t>main:sonnet=17; side: sonnet=13 opus=7 fable=2 (6 аг.)</t>
        </is>
      </c>
      <c r="M48" s="3" t="inlineStr">
        <is>
          <t>тестов нет; багов вождением не найдено</t>
        </is>
      </c>
      <c r="N48" s="3" t="inlineStr">
        <is>
          <t>кнопочная модель ЗАСЧИТАНА вердиктом оператора 07-18 (прецедент №1; интерпретация не штрафуется)</t>
        </is>
      </c>
    </row>
    <row r="49">
      <c r="A49" s="3" t="inlineStr">
        <is>
          <t>№13c2</t>
        </is>
      </c>
      <c r="B49" s="3" t="inlineStr">
        <is>
          <t>07-18</t>
        </is>
      </c>
      <c r="C49" s="3" t="inlineStr">
        <is>
          <t>kit v5.2.1</t>
        </is>
      </c>
      <c r="D49" s="3" t="inlineStr">
        <is>
          <t>sonnet</t>
        </is>
      </c>
      <c r="E49" s="3" t="inlineStr">
        <is>
          <t>C2</t>
        </is>
      </c>
      <c r="F49" s="3" t="inlineStr">
        <is>
          <t>t2</t>
        </is>
      </c>
      <c r="G49" s="3" t="inlineStr">
        <is>
          <t>да</t>
        </is>
      </c>
      <c r="H49" s="3" t="n">
        <v>1.95</v>
      </c>
      <c r="I49" s="3" t="n">
        <v>8.199999999999999</v>
      </c>
      <c r="J49" s="3" t="n">
        <v>0.8</v>
      </c>
      <c r="K49" s="3">
        <f>IF(J49=0,"н-д (0)",ROUND(H49/J49,1))</f>
        <v/>
      </c>
      <c r="L49" s="3" t="inlineStr">
        <is>
          <t>main:sonnet=29; side: sonnet=73 opus=13 fable=2 (9 аг.)</t>
        </is>
      </c>
      <c r="M49" s="3" t="inlineStr">
        <is>
          <t>0 (28/28 file:line точны); деливерабл в чате/stdout — ФАЙЛА НЕТ (D=0.2)</t>
        </is>
      </c>
      <c r="N49" s="3" t="inlineStr">
        <is>
          <t>все 7 воркеров дошли до done; C-ось н-п</t>
        </is>
      </c>
    </row>
    <row r="50">
      <c r="A50" s="3" t="inlineStr">
        <is>
          <t>№13c2</t>
        </is>
      </c>
      <c r="B50" s="3" t="inlineStr">
        <is>
          <t>07-18</t>
        </is>
      </c>
      <c r="C50" s="3" t="inlineStr">
        <is>
          <t>kit v5.2.1</t>
        </is>
      </c>
      <c r="D50" s="3" t="inlineStr">
        <is>
          <t>sonnet</t>
        </is>
      </c>
      <c r="E50" s="3" t="inlineStr">
        <is>
          <t>C2</t>
        </is>
      </c>
      <c r="F50" s="3" t="inlineStr">
        <is>
          <t>t3</t>
        </is>
      </c>
      <c r="G50" s="3" t="inlineStr">
        <is>
          <t>да</t>
        </is>
      </c>
      <c r="H50" s="3" t="n">
        <v>1.27</v>
      </c>
      <c r="I50" s="3" t="n">
        <v>6.6</v>
      </c>
      <c r="J50" s="3" t="n">
        <v>0.41</v>
      </c>
      <c r="K50" s="3">
        <f>IF(J50=0,"н-д (0)",ROUND(H50/J50,1))</f>
        <v/>
      </c>
      <c r="L50" s="3" t="inlineStr">
        <is>
          <t>main:sonnet=26; side: sonnet=33 opus=14 fable=2 (6 аг.)</t>
        </is>
      </c>
      <c r="M50" s="3" t="inlineStr">
        <is>
          <t>КРАШ на legacy-данных (старые tasks.json — аудитория жалобы; миграции нет); тестов нет; M1 поведенчески подтверждён</t>
        </is>
      </c>
      <c r="N50" s="3" t="inlineStr">
        <is>
          <t>класс закрыт только для новых данных</t>
        </is>
      </c>
    </row>
    <row r="51">
      <c r="A51" s="4" t="inlineStr">
        <is>
          <t>№13c2</t>
        </is>
      </c>
      <c r="B51" s="4" t="inlineStr"/>
      <c r="C51" s="4" t="inlineStr"/>
      <c r="D51" s="4" t="inlineStr">
        <is>
          <t>sonnet</t>
        </is>
      </c>
      <c r="E51" s="4" t="inlineStr">
        <is>
          <t>C2</t>
        </is>
      </c>
      <c r="F51" s="4" t="inlineStr">
        <is>
          <t>ИТОГ ПЛЕЧА</t>
        </is>
      </c>
      <c r="G51" s="4" t="inlineStr"/>
      <c r="H51" s="4">
        <f>SUM(H48:H50)</f>
        <v/>
      </c>
      <c r="I51" s="4">
        <f>SUM(I48:I50)</f>
        <v/>
      </c>
      <c r="J51" s="4">
        <f>ROUND(AVERAGE(J48:J50),2)</f>
        <v/>
      </c>
      <c r="K51" s="4">
        <f>IF(OR(J51="",J51=0),"н-д",ROUND(SUM(H48:H50)/J51,1))</f>
        <v/>
      </c>
      <c r="L51" s="4" t="inlineStr"/>
      <c r="M51" s="4" t="inlineStr"/>
      <c r="N51" s="4" t="inlineStr">
        <is>
          <t>сводный = среднее задачных; осевой метод Runs log: 0.43 (не переписан)</t>
        </is>
      </c>
    </row>
    <row r="52">
      <c r="A52" s="3" t="inlineStr">
        <is>
          <t>№14</t>
        </is>
      </c>
      <c r="B52" s="3" t="inlineStr">
        <is>
          <t>07-18</t>
        </is>
      </c>
      <c r="C52" s="3" t="inlineStr">
        <is>
          <t>exp-14-criticlite @ 19d1b01 (v5.2.1 + пп.2-4)</t>
        </is>
      </c>
      <c r="D52" s="3" t="inlineStr">
        <is>
          <t>sonnet</t>
        </is>
      </c>
      <c r="E52" s="3" t="inlineStr">
        <is>
          <t>Bcl1</t>
        </is>
      </c>
      <c r="F52" s="3" t="inlineStr">
        <is>
          <t>t1</t>
        </is>
      </c>
      <c r="G52" s="3" t="inlineStr">
        <is>
          <t>да</t>
        </is>
      </c>
      <c r="H52" s="3" t="n">
        <v>5.02</v>
      </c>
      <c r="I52" s="3" t="n">
        <v>21.2</v>
      </c>
      <c r="J52" s="3" t="n">
        <v>0.93</v>
      </c>
      <c r="K52" s="3">
        <f>IF(J52=0,"н-д (0)",ROUND(H52/J52,1))</f>
        <v/>
      </c>
      <c r="L52" s="3" t="inlineStr">
        <is>
          <t>main:sonnet=35; side: sonnet=52 haiku=43 opus=27 fable=5 (4 аг.)</t>
        </is>
      </c>
      <c r="M52" s="3" t="inlineStr">
        <is>
          <t>5 дефектов журнала (validator); kill 7/7 — ОБА M6 УБИТЫ (первый раз за серию)</t>
        </is>
      </c>
      <c r="N52" s="3" t="inlineStr">
        <is>
          <t>opus-ходы 27 против 101 у №13-t1; 47 тестов: 6 граничных по новому правилу</t>
        </is>
      </c>
    </row>
    <row r="53">
      <c r="A53" s="3" t="inlineStr">
        <is>
          <t>№14</t>
        </is>
      </c>
      <c r="B53" s="3" t="inlineStr">
        <is>
          <t>07-18</t>
        </is>
      </c>
      <c r="C53" s="3" t="inlineStr">
        <is>
          <t>exp-14-criticlite</t>
        </is>
      </c>
      <c r="D53" s="3" t="inlineStr">
        <is>
          <t>sonnet</t>
        </is>
      </c>
      <c r="E53" s="3" t="inlineStr">
        <is>
          <t>Bcl1</t>
        </is>
      </c>
      <c r="F53" s="3" t="inlineStr">
        <is>
          <t>t2</t>
        </is>
      </c>
      <c r="G53" s="3" t="inlineStr">
        <is>
          <t>да</t>
        </is>
      </c>
      <c r="H53" s="3" t="n">
        <v>3.82</v>
      </c>
      <c r="I53" s="3" t="n">
        <v>17.3</v>
      </c>
      <c r="J53" s="3" t="n">
        <v>0.9399999999999999</v>
      </c>
      <c r="K53" s="3">
        <f>IF(J53=0,"н-д (0)",ROUND(H53/J53,1))</f>
        <v/>
      </c>
      <c r="L53" s="3" t="inlineStr">
        <is>
          <t>main:sonnet=77; side: haiku=83 opus=28 fable=2 (3 аг.)</t>
        </is>
      </c>
      <c r="M53" s="3" t="inlineStr">
        <is>
          <t>2 дефекта журнала; 31/31 file:line ТОЧНЫ (лучшая сверяемость B-плеч серии)</t>
        </is>
      </c>
      <c r="N53" s="3" t="inlineStr">
        <is>
          <t>критик — точечное чтение диапазонов (вердиктный слой чисто)</t>
        </is>
      </c>
    </row>
    <row r="54">
      <c r="A54" s="3" t="inlineStr">
        <is>
          <t>№14</t>
        </is>
      </c>
      <c r="B54" s="3" t="inlineStr">
        <is>
          <t>07-18</t>
        </is>
      </c>
      <c r="C54" s="3" t="inlineStr">
        <is>
          <t>exp-14-criticlite</t>
        </is>
      </c>
      <c r="D54" s="3" t="inlineStr">
        <is>
          <t>sonnet</t>
        </is>
      </c>
      <c r="E54" s="3" t="inlineStr">
        <is>
          <t>Bcl1</t>
        </is>
      </c>
      <c r="F54" s="3" t="inlineStr">
        <is>
          <t>t3</t>
        </is>
      </c>
      <c r="G54" s="3" t="inlineStr">
        <is>
          <t>да</t>
        </is>
      </c>
      <c r="H54" s="3" t="n">
        <v>2.59</v>
      </c>
      <c r="I54" s="3" t="n">
        <v>12.3</v>
      </c>
      <c r="J54" s="3" t="n">
        <v>0.98</v>
      </c>
      <c r="K54" s="3">
        <f>IF(J54=0,"н-д (0)",ROUND(H54/J54,1))</f>
        <v/>
      </c>
      <c r="L54" s="3" t="inlineStr">
        <is>
          <t>main:sonnet=42; side: haiku=36 sonnet=24 opus=12 fable=6 (4 аг.)</t>
        </is>
      </c>
      <c r="M54" s="3" t="inlineStr">
        <is>
          <t>0 дефектов журнала; kill вкл. M1; снимок критика СОВПАЛ</t>
        </is>
      </c>
      <c r="N54" s="3" t="inlineStr">
        <is>
          <t>лучшая клетка прогона</t>
        </is>
      </c>
    </row>
    <row r="55">
      <c r="A55" s="4" t="inlineStr">
        <is>
          <t>№14</t>
        </is>
      </c>
      <c r="B55" s="4" t="inlineStr"/>
      <c r="C55" s="4" t="inlineStr"/>
      <c r="D55" s="4" t="inlineStr">
        <is>
          <t>sonnet</t>
        </is>
      </c>
      <c r="E55" s="4" t="inlineStr">
        <is>
          <t>Bcl1</t>
        </is>
      </c>
      <c r="F55" s="4" t="inlineStr">
        <is>
          <t>ИТОГ ПЛЕЧА</t>
        </is>
      </c>
      <c r="G55" s="4" t="inlineStr"/>
      <c r="H55" s="4">
        <f>SUM(H52:H54)</f>
        <v/>
      </c>
      <c r="I55" s="4">
        <f>SUM(I52:I54)</f>
        <v/>
      </c>
      <c r="J55" s="4">
        <f>ROUND(AVERAGE(J52:J54),2)</f>
        <v/>
      </c>
      <c r="K55" s="4">
        <f>IF(OR(J55="",J55=0),"н-д",ROUND(SUM(H52:H54)/J55,1))</f>
        <v/>
      </c>
      <c r="L55" s="4" t="inlineStr"/>
      <c r="M55" s="4" t="inlineStr"/>
      <c r="N55" s="4" t="inlineStr">
        <is>
          <t>сводный = среднее задачных; осевой метод Runs log: — (не переписан)</t>
        </is>
      </c>
    </row>
    <row r="56">
      <c r="A56" t="inlineStr">
        <is>
          <t>№15</t>
        </is>
      </c>
      <c r="B56" t="inlineStr">
        <is>
          <t>07-19</t>
        </is>
      </c>
      <c r="C56" t="inlineStr">
        <is>
          <t>exp-15-kernel @ 8333adf (= main e1ccd50 = штаб f5b27d5; ЯДРО-КАНДИДАТ EN 20379 Б vs 35776)</t>
        </is>
      </c>
      <c r="D56" t="inlineStr">
        <is>
          <t>sonnet</t>
        </is>
      </c>
      <c r="E56" t="inlineStr">
        <is>
          <t>Bkn1</t>
        </is>
      </c>
      <c r="F56" t="inlineStr">
        <is>
          <t>t1</t>
        </is>
      </c>
      <c r="G56" t="inlineStr">
        <is>
          <t>да</t>
        </is>
      </c>
      <c r="H56" t="n">
        <v>3.87</v>
      </c>
      <c r="I56" t="n">
        <v>16.9</v>
      </c>
      <c r="J56" t="n">
        <v>0.96</v>
      </c>
      <c r="K56">
        <f>IF(J56=0,"н-д (0)",ROUND(H56/J56,1))</f>
        <v/>
      </c>
      <c r="L56" t="inlineStr">
        <is>
          <t>main:sonnet=28; side: sonnet=25 opus=8 haiku=3 fable=2 (6 аг.)</t>
        </is>
      </c>
      <c r="M56" t="inlineStr">
        <is>
          <t>kill 7/7 вкл. оба M6; арабские цифры молча приняты — ПОВТОР класса №13-Bfg4-t1 (не ядро-специфично), без теста; 0 дефектов журнала</t>
        </is>
      </c>
      <c r="N56" t="inlineStr">
        <is>
          <t>28 тестов; критик поймал протечку RecursionError на цепочке унарных минусов; A=0.85 за арабский пробел</t>
        </is>
      </c>
    </row>
    <row r="57">
      <c r="A57" t="inlineStr">
        <is>
          <t>№15</t>
        </is>
      </c>
      <c r="B57" t="inlineStr">
        <is>
          <t>07-19</t>
        </is>
      </c>
      <c r="C57" t="inlineStr">
        <is>
          <t>exp-15-kernel</t>
        </is>
      </c>
      <c r="D57" t="inlineStr">
        <is>
          <t>sonnet</t>
        </is>
      </c>
      <c r="E57" t="inlineStr">
        <is>
          <t>Bkn1</t>
        </is>
      </c>
      <c r="F57" t="inlineStr">
        <is>
          <t>t2</t>
        </is>
      </c>
      <c r="G57" t="inlineStr">
        <is>
          <t>да</t>
        </is>
      </c>
      <c r="H57" t="n">
        <v>3.6</v>
      </c>
      <c r="I57" t="n">
        <v>17.2</v>
      </c>
      <c r="J57" t="n">
        <v>0.93</v>
      </c>
      <c r="K57">
        <f>IF(J57=0,"н-д (0)",ROUND(H57/J57,1))</f>
        <v/>
      </c>
      <c r="L57" t="inlineStr">
        <is>
          <t>main:sonnet=20; side: haiku=28 fable=6 opus=4 sonnet=2 (3 аг.)</t>
        </is>
      </c>
      <c r="M57" t="inlineStr">
        <is>
          <t>3 строки журнала без category (validator); 17/17 file:line ТОЧНЫ — первый план серии без единой неточности</t>
        </is>
      </c>
      <c r="N57" t="inlineStr">
        <is>
          <t>критик-на-план исполнен; stall 74s внешней нагрузки; C-ось н-п</t>
        </is>
      </c>
    </row>
    <row r="58">
      <c r="A58" t="inlineStr">
        <is>
          <t>№15</t>
        </is>
      </c>
      <c r="B58" t="inlineStr">
        <is>
          <t>07-19</t>
        </is>
      </c>
      <c r="C58" t="inlineStr">
        <is>
          <t>exp-15-kernel</t>
        </is>
      </c>
      <c r="D58" t="inlineStr">
        <is>
          <t>sonnet</t>
        </is>
      </c>
      <c r="E58" t="inlineStr">
        <is>
          <t>Bkn1</t>
        </is>
      </c>
      <c r="F58" t="inlineStr">
        <is>
          <t>t3</t>
        </is>
      </c>
      <c r="G58" t="inlineStr">
        <is>
          <t>да</t>
        </is>
      </c>
      <c r="H58" t="n">
        <v>2.66</v>
      </c>
      <c r="I58" t="n">
        <v>13.5</v>
      </c>
      <c r="J58" t="n">
        <v>0.9399999999999999</v>
      </c>
      <c r="K58">
        <f>IF(J58=0,"н-д (0)",ROUND(H58/J58,1))</f>
        <v/>
      </c>
      <c r="L58" t="inlineStr">
        <is>
          <t>main:sonnet=24; side: haiku=18 sonnet=12 opus=7 (4 аг.)</t>
        </is>
      </c>
      <c r="M58" t="inlineStr">
        <is>
          <t>ПРОКСИ-ПОДМЕНА (F-37): журнал заявляет fable-прокси (t-002 model/by=fable), замер cc_usage — opus-4-8, fable-ходов 0; E срезана Lead 1.0-&gt;0.5 (скаляр грейдера 1.0-&gt;0.94); kill 7/7 вкл. M1</t>
        </is>
      </c>
      <c r="N58" t="inlineStr">
        <is>
          <t>класс «done по позиции» структурно закрыт (общий find_index_by_id); 13 тестов; матрица приёмки в существе чиста (opus-вход достаточен для builder)</t>
        </is>
      </c>
    </row>
    <row r="59">
      <c r="A59" t="inlineStr">
        <is>
          <t>№15</t>
        </is>
      </c>
      <c r="D59" t="inlineStr">
        <is>
          <t>sonnet</t>
        </is>
      </c>
      <c r="E59" t="inlineStr">
        <is>
          <t>Bkn1</t>
        </is>
      </c>
      <c r="F59" t="inlineStr">
        <is>
          <t>ИТОГ ПЛЕЧА</t>
        </is>
      </c>
      <c r="H59">
        <f>SUM(H56:H58)</f>
        <v/>
      </c>
      <c r="I59">
        <f>SUM(I56:I58)</f>
        <v/>
      </c>
      <c r="J59">
        <f>ROUND(AVERAGE(J56:J58),2)</f>
        <v/>
      </c>
      <c r="K59">
        <f>IF(OR(J59="",J59=0),"н-д",ROUND(SUM(H56:H58)/J59,1))</f>
        <v/>
      </c>
      <c r="N59" t="inlineStr">
        <is>
          <t>сводный = среднее задачных; Runs log: 0.94; t3 скорректирована Lead при приёмке (прокси-подмена); k2 журналы: 0/3/0 дефектов vs база №14 5</t>
        </is>
      </c>
    </row>
    <row r="60">
      <c r="A60" t="inlineStr">
        <is>
          <t>№16</t>
        </is>
      </c>
      <c r="B60" t="inlineStr">
        <is>
          <t>07-19</t>
        </is>
      </c>
      <c r="C60" t="inlineStr">
        <is>
          <t>exp-16-kernel @ 0526ca6 (= main 2cbc84d = штаб 1a11b80; ЯДРО v2 + tier_echo в клетках)</t>
        </is>
      </c>
      <c r="D60" t="inlineStr">
        <is>
          <t>sonnet</t>
        </is>
      </c>
      <c r="E60" t="inlineStr">
        <is>
          <t>Bkn2</t>
        </is>
      </c>
      <c r="F60" t="inlineStr">
        <is>
          <t>t1</t>
        </is>
      </c>
      <c r="G60" t="inlineStr">
        <is>
          <t>да</t>
        </is>
      </c>
      <c r="H60" t="n">
        <v>5.07</v>
      </c>
      <c r="I60" t="n">
        <v>20.7</v>
      </c>
      <c r="J60" t="n">
        <v>0.91</v>
      </c>
      <c r="K60">
        <f>IF(J60=0,"н-д (0)",ROUND(H60/J60,1))</f>
        <v/>
      </c>
      <c r="L60" t="inlineStr">
        <is>
          <t>main:sonnet=31; side: sonnet=27 opus=17 fable=2 (5 аг.)</t>
        </is>
      </c>
      <c r="M60" t="inlineStr">
        <is>
          <t>kill 8/8 вкл. 3 граничных; юникод-дыра закрыта СТРУКТУРНО (٢+٢ -&gt; Error, против молчаливого 4 у N15); журнал 8 дефектов validator — худший t1 серии</t>
        </is>
      </c>
      <c r="N60" t="inlineStr">
        <is>
          <t>50 тестов; содержание чистое (A/B/C = 1.0), скаляр съеден формой журнала</t>
        </is>
      </c>
    </row>
    <row r="61">
      <c r="A61" t="inlineStr">
        <is>
          <t>№16</t>
        </is>
      </c>
      <c r="B61" t="inlineStr">
        <is>
          <t>07-19</t>
        </is>
      </c>
      <c r="C61" t="inlineStr">
        <is>
          <t>exp-16-kernel</t>
        </is>
      </c>
      <c r="D61" t="inlineStr">
        <is>
          <t>sonnet</t>
        </is>
      </c>
      <c r="E61" t="inlineStr">
        <is>
          <t>Bkn2</t>
        </is>
      </c>
      <c r="F61" t="inlineStr">
        <is>
          <t>t2</t>
        </is>
      </c>
      <c r="G61" t="inlineStr">
        <is>
          <t>да</t>
        </is>
      </c>
      <c r="H61" t="n">
        <v>3.83</v>
      </c>
      <c r="I61" t="n">
        <v>16.8</v>
      </c>
      <c r="J61" t="n">
        <v>0.82</v>
      </c>
      <c r="K61">
        <f>IF(J61=0,"н-д (0)",ROUND(H61/J61,1))</f>
        <v/>
      </c>
      <c r="L61" t="inlineStr">
        <is>
          <t>main:sonnet=38; side: haiku=37 opus=5 fable=4 (3 аг.)</t>
        </is>
      </c>
      <c r="M61" t="inlineStr">
        <is>
          <t>план НЕ персистирован файлом (только stdout, D=0.3); 1 самосертификация k3 (accepted critic-работы by=sonnet без basis-поля, queued-to-lead только прозой); 3 дефекта журнала</t>
        </is>
      </c>
      <c r="N61" t="inlineStr">
        <is>
          <t>18/18 file:line точны (100%); критик-на-план исполнен; C-ось н-п</t>
        </is>
      </c>
    </row>
    <row r="62">
      <c r="A62" t="inlineStr">
        <is>
          <t>№16</t>
        </is>
      </c>
      <c r="B62" t="inlineStr">
        <is>
          <t>07-19</t>
        </is>
      </c>
      <c r="C62" t="inlineStr">
        <is>
          <t>exp-16-kernel</t>
        </is>
      </c>
      <c r="D62" t="inlineStr">
        <is>
          <t>sonnet</t>
        </is>
      </c>
      <c r="E62" t="inlineStr">
        <is>
          <t>Bkn2</t>
        </is>
      </c>
      <c r="F62" t="inlineStr">
        <is>
          <t>t3</t>
        </is>
      </c>
      <c r="G62" t="inlineStr">
        <is>
          <t>да</t>
        </is>
      </c>
      <c r="H62" t="n">
        <v>3.58</v>
      </c>
      <c r="I62" t="n">
        <v>14.8</v>
      </c>
      <c r="J62" t="n">
        <v>0.96</v>
      </c>
      <c r="K62">
        <f>IF(J62=0,"н-д (0)",ROUND(H62/J62,1))</f>
        <v/>
      </c>
      <c r="L62" t="inlineStr">
        <is>
          <t>main:sonnet=34; side: haiku=8 sonnet=8 opus=3 fable=1 (4 аг.)</t>
        </is>
      </c>
      <c r="M62" t="inlineStr">
        <is>
          <t>kill 6/7 вкл. M1 (тестом, не архитектурой); M6 граница id-позитивности SURVIVED — реальная находка; 0 дефектов журнала</t>
        </is>
      </c>
      <c r="N62" t="inlineStr">
        <is>
          <t>18 тестов; прокси честный (fable=1 замером)</t>
        </is>
      </c>
    </row>
    <row r="63">
      <c r="A63" t="inlineStr">
        <is>
          <t>№16</t>
        </is>
      </c>
      <c r="D63" t="inlineStr">
        <is>
          <t>sonnet</t>
        </is>
      </c>
      <c r="E63" t="inlineStr">
        <is>
          <t>Bkn2</t>
        </is>
      </c>
      <c r="F63" t="inlineStr">
        <is>
          <t>ИТОГ ПЛЕЧА</t>
        </is>
      </c>
      <c r="H63">
        <f>SUM(H60:H62)</f>
        <v/>
      </c>
      <c r="I63">
        <f>SUM(I60:I62)</f>
        <v/>
      </c>
      <c r="J63">
        <f>ROUND(AVERAGE(J60:J62),2)</f>
        <v/>
      </c>
      <c r="K63">
        <f>IF(OR(J63="",J63=0),"н-д",ROUND(SUM(H60:H62)/J63,1))</f>
        <v/>
      </c>
      <c r="N63" t="inlineStr">
        <is>
          <t>сводный = среднее задачных; Runs log: 0.90; k2 журналы 8/3/0=11 (хуже N15=3); k6(б): подмен прокси НЕТ (11/11 честны, fable-ходы во всех клетках); k6(а): 0 TIER ECHO — канал stderr@exit0 невидим, сменён на hookSpecificOutput (872b5e6); ПЛАНКА 0.93 НЕ ВЗЯТА (0.90) — N3-срез стоит, доклад оператору</t>
        </is>
      </c>
    </row>
    <row r="64">
      <c r="A64" t="inlineStr">
        <is>
          <t>№17</t>
        </is>
      </c>
      <c r="B64" t="inlineStr">
        <is>
          <t>07-19</t>
        </is>
      </c>
      <c r="C64" t="inlineStr">
        <is>
          <t>exp-17-kernel @ b30337b (= main 020138a = штаб 5c8534f; ЯДРО v3: таблица форм + journal_echo на записи)</t>
        </is>
      </c>
      <c r="D64" t="inlineStr">
        <is>
          <t>sonnet</t>
        </is>
      </c>
      <c r="E64" t="inlineStr">
        <is>
          <t>Bkn3</t>
        </is>
      </c>
      <c r="F64" t="inlineStr">
        <is>
          <t>t1</t>
        </is>
      </c>
      <c r="G64" t="inlineStr">
        <is>
          <t>да</t>
        </is>
      </c>
      <c r="H64" t="n">
        <v>3.32</v>
      </c>
      <c r="I64" t="n">
        <v>13.6</v>
      </c>
      <c r="J64" t="n">
        <v>0.93</v>
      </c>
      <c r="K64">
        <f>IF(J64=0,"н-д (0)",ROUND(H64/J64,1))</f>
        <v/>
      </c>
      <c r="L64" t="inlineStr">
        <is>
          <t>main:sonnet=16; side: opus=12 sonnet=8 fable=2 (3 аг.)</t>
        </is>
      </c>
      <c r="M64" t="inlineStr">
        <is>
          <t>мутации: M3 безвредна + M7 РЕАЛЬНЫЙ пробел выжили; 0 дефектов журнала</t>
        </is>
      </c>
      <c r="N64" t="inlineStr">
        <is>
          <t>43 теста; k2-класс убит (журнал чист)</t>
        </is>
      </c>
    </row>
    <row r="65">
      <c r="A65" t="inlineStr">
        <is>
          <t>№17</t>
        </is>
      </c>
      <c r="B65" t="inlineStr">
        <is>
          <t>07-19</t>
        </is>
      </c>
      <c r="C65" t="inlineStr">
        <is>
          <t>exp-17-kernel</t>
        </is>
      </c>
      <c r="D65" t="inlineStr">
        <is>
          <t>sonnet</t>
        </is>
      </c>
      <c r="E65" t="inlineStr">
        <is>
          <t>Bkn3</t>
        </is>
      </c>
      <c r="F65" t="inlineStr">
        <is>
          <t>t2</t>
        </is>
      </c>
      <c r="G65" t="inlineStr">
        <is>
          <t>да</t>
        </is>
      </c>
      <c r="H65" t="n">
        <v>4.43</v>
      </c>
      <c r="I65" t="n">
        <v>18.9</v>
      </c>
      <c r="J65" t="n">
        <v>0.85</v>
      </c>
      <c r="K65">
        <f>IF(J65=0,"н-д (0)",ROUND(H65/J65,1))</f>
        <v/>
      </c>
      <c r="L65" t="inlineStr">
        <is>
          <t>main:sonnet=24; side: haiku=25 opus=10 fable=9 sonnet=2 (3 аг.)</t>
        </is>
      </c>
      <c r="M65" t="inlineStr">
        <is>
          <t>ЧАСТИЧНАЯ ПОДМЕНА (D-0083-класс, 2-й экземпляр): воркер-fable биллится sonnet в 2/11 закрывающих ходов (agent a39f86b..., сверено Lead срезом cc_usage: 9 fable + 2 sonnet); нет rejected-события на критик-отказ (правило 6); 0 дефектов формы журнала</t>
        </is>
      </c>
      <c r="N65" t="inlineStr">
        <is>
          <t>13 file:line сверок точны; stall 102s внешней нагрузки; C-ось н-п</t>
        </is>
      </c>
    </row>
    <row r="66">
      <c r="A66" t="inlineStr">
        <is>
          <t>№17</t>
        </is>
      </c>
      <c r="B66" t="inlineStr">
        <is>
          <t>07-19</t>
        </is>
      </c>
      <c r="C66" t="inlineStr">
        <is>
          <t>exp-17-kernel</t>
        </is>
      </c>
      <c r="D66" t="inlineStr">
        <is>
          <t>sonnet</t>
        </is>
      </c>
      <c r="E66" t="inlineStr">
        <is>
          <t>Bkn3</t>
        </is>
      </c>
      <c r="F66" t="inlineStr">
        <is>
          <t>t3</t>
        </is>
      </c>
      <c r="G66" t="inlineStr">
        <is>
          <t>да</t>
        </is>
      </c>
      <c r="H66" t="n">
        <v>3.91</v>
      </c>
      <c r="I66" t="n">
        <v>17.1</v>
      </c>
      <c r="J66" t="n">
        <v>0.98</v>
      </c>
      <c r="K66">
        <f>IF(J66=0,"н-д (0)",ROUND(H66/J66,1))</f>
        <v/>
      </c>
      <c r="L66" t="inlineStr">
        <is>
          <t>main:sonnet=27; side: sonnet=29 opus=3 fable=2 (3 аг.)</t>
        </is>
      </c>
      <c r="M66" t="inlineStr">
        <is>
          <t>kill вкл. M1; 0 дефектов журнала; worker_ref t3 символьные (не сверяемы буквально с БД) — пометка</t>
        </is>
      </c>
      <c r="N66" t="inlineStr">
        <is>
          <t>28 тестов; лучшая клетка прогона</t>
        </is>
      </c>
    </row>
    <row r="67">
      <c r="A67" t="inlineStr">
        <is>
          <t>№17</t>
        </is>
      </c>
      <c r="D67" t="inlineStr">
        <is>
          <t>sonnet</t>
        </is>
      </c>
      <c r="E67" t="inlineStr">
        <is>
          <t>Bkn3</t>
        </is>
      </c>
      <c r="F67" t="inlineStr">
        <is>
          <t>ИТОГ ПЛЕЧА</t>
        </is>
      </c>
      <c r="H67">
        <f>SUM(H64:H66)</f>
        <v/>
      </c>
      <c r="I67">
        <f>SUM(I64:I66)</f>
        <v/>
      </c>
      <c r="J67">
        <f>ROUND(AVERAGE(J64:J66),2)</f>
        <v/>
      </c>
      <c r="K67">
        <f>IF(OR(J67="",J67=0),"н-д",ROUND(SUM(H64:H66)/J67,1))</f>
        <v/>
      </c>
      <c r="N67" t="inlineStr">
        <is>
          <t>сводный = среднее задачных; Runs log: 0.92; k2 = 0/0/0 (ожидание предрегистрации ВЫПОЛНЕНО, было 11 у N16); k3 0/7; JOURNAL ECHO 0 хитов при 0 дефектах = консистентное молчание; МЕДИАНА ТРЁХ ТОЧЕК ЯДРА 0.94/0.90/0.92 = 0.92 &lt; планки 0.93 — N3 доклад оператору</t>
        </is>
      </c>
    </row>
    <row r="68">
      <c r="A68" t="inlineStr">
        <is>
          <t>D№1</t>
        </is>
      </c>
      <c r="B68" t="inlineStr">
        <is>
          <t>07-21</t>
        </is>
      </c>
      <c r="C68" t="inlineStr">
        <is>
          <t>оркестратор exam_runD_orchestrator — конструкция №1 (D-0085 allocate-лестница haiku/sonnet/opus + judge-sonnet приёмка, ключи R4' по D-0086)</t>
        </is>
      </c>
      <c r="D68" t="inlineStr">
        <is>
          <t>fable</t>
        </is>
      </c>
      <c r="E68" t="inlineStr">
        <is>
          <t>D</t>
        </is>
      </c>
      <c r="F68" t="inlineStr">
        <is>
          <t>t1</t>
        </is>
      </c>
      <c r="G68" t="inlineStr">
        <is>
          <t>да</t>
        </is>
      </c>
      <c r="H68" t="n">
        <v>1.642</v>
      </c>
      <c r="J68" t="n">
        <v>0.95</v>
      </c>
      <c r="K68">
        <f>IF(J68=0,"н-д (0)",ROUND(H68/J68,1))</f>
        <v/>
      </c>
      <c r="L68" t="inlineStr">
        <is>
          <t>ретрай ×1 (починка приоритетного парсера: 2+2*2 -&gt; 6)</t>
        </is>
      </c>
      <c r="M68" t="inlineStr">
        <is>
          <t>н-д</t>
        </is>
      </c>
      <c r="N68" t="inlineStr">
        <is>
          <t>грейдинг t-244</t>
        </is>
      </c>
    </row>
    <row r="69">
      <c r="A69" t="inlineStr">
        <is>
          <t>D№1</t>
        </is>
      </c>
      <c r="B69" t="inlineStr">
        <is>
          <t>07-21</t>
        </is>
      </c>
      <c r="C69" t="inlineStr">
        <is>
          <t>конструкция №1 (D-плечо)</t>
        </is>
      </c>
      <c r="D69" t="inlineStr">
        <is>
          <t>fable</t>
        </is>
      </c>
      <c r="E69" t="inlineStr">
        <is>
          <t>D</t>
        </is>
      </c>
      <c r="F69" t="inlineStr">
        <is>
          <t>t2</t>
        </is>
      </c>
      <c r="G69" t="inlineStr">
        <is>
          <t>да</t>
        </is>
      </c>
      <c r="H69" t="n">
        <v>0.8343</v>
      </c>
      <c r="J69" t="n">
        <v>0.983</v>
      </c>
      <c r="K69">
        <f>IF(J69=0,"н-д (0)",ROUND(H69/J69,1))</f>
        <v/>
      </c>
      <c r="L69" t="inlineStr">
        <is>
          <t>н-д</t>
        </is>
      </c>
      <c r="M69" t="inlineStr">
        <is>
          <t>н-д</t>
        </is>
      </c>
    </row>
    <row r="70">
      <c r="A70" t="inlineStr">
        <is>
          <t>D№1</t>
        </is>
      </c>
      <c r="B70" t="inlineStr">
        <is>
          <t>07-21</t>
        </is>
      </c>
      <c r="C70" t="inlineStr">
        <is>
          <t>конструкция №1 (D-плечо)</t>
        </is>
      </c>
      <c r="D70" t="inlineStr">
        <is>
          <t>fable</t>
        </is>
      </c>
      <c r="E70" t="inlineStr">
        <is>
          <t>D</t>
        </is>
      </c>
      <c r="F70" t="inlineStr">
        <is>
          <t>t3</t>
        </is>
      </c>
      <c r="G70" t="inlineStr">
        <is>
          <t>НЕТ</t>
        </is>
      </c>
      <c r="H70" t="n">
        <v>1.5878</v>
      </c>
      <c r="J70" t="n">
        <v>0</v>
      </c>
      <c r="K70">
        <f>IF(J70=0,"н-д (0)",ROUND(H70/J70,1))</f>
        <v/>
      </c>
      <c r="L70" t="inlineStr">
        <is>
          <t>эскалация до финального честного fail</t>
        </is>
      </c>
      <c r="M70" t="inlineStr">
        <is>
          <t>eval-дефект, t3-артефакт: exclusions считались один раз до ретрай-петли — судья не видел обновлённый README (форензика t-244, sha256 против baseline_hashes.json); мерит-провал t3 реален отдельно (краш на legacy plain-list, судья до него не дошёл)</t>
        </is>
      </c>
    </row>
    <row r="71">
      <c r="A71" t="inlineStr">
        <is>
          <t>D№1</t>
        </is>
      </c>
      <c r="B71" t="inlineStr">
        <is>
          <t>07-21</t>
        </is>
      </c>
      <c r="C71" t="inlineStr">
        <is>
          <t>конструкция №1 (D-плечо)</t>
        </is>
      </c>
      <c r="D71" t="inlineStr">
        <is>
          <t>fable</t>
        </is>
      </c>
      <c r="E71" t="inlineStr">
        <is>
          <t>D</t>
        </is>
      </c>
      <c r="F71" t="inlineStr">
        <is>
          <t>судья</t>
        </is>
      </c>
      <c r="H71" t="n">
        <v>0.1758</v>
      </c>
      <c r="N71" t="inlineStr">
        <is>
          <t>header-cost сверен requests.db, traffic_kind=judge (D-0075)</t>
        </is>
      </c>
    </row>
    <row r="72">
      <c r="A72" t="inlineStr">
        <is>
          <t>D№1</t>
        </is>
      </c>
      <c r="D72" t="inlineStr">
        <is>
          <t>fable</t>
        </is>
      </c>
      <c r="E72" t="inlineStr">
        <is>
          <t>D</t>
        </is>
      </c>
      <c r="F72" t="inlineStr">
        <is>
          <t>ИТОГ ПЛЕЧА</t>
        </is>
      </c>
      <c r="G72" t="inlineStr">
        <is>
          <t>2/3</t>
        </is>
      </c>
      <c r="H72">
        <f>SUM(H68:H71)</f>
        <v/>
      </c>
      <c r="J72">
        <f>ROUND(AVERAGE(J68:J71),3)</f>
        <v/>
      </c>
      <c r="K72">
        <f>IF(OR(J72="",J72=0),"н-д",ROUND(SUM(H68:H71)/J72,1))</f>
        <v/>
      </c>
      <c r="N72" t="inlineStr">
        <is>
          <t>сводный = среднее задачных (с нулём t3); $/принятую (Runs log 07-21): $2.12; окно ~24 мин сырым (контаминировано последовательным сплитом Dsn→Dhk, время клетки не разложено по задачам — I не заполнен)</t>
        </is>
      </c>
    </row>
    <row r="73">
      <c r="A73" t="inlineStr">
        <is>
          <t>D№1</t>
        </is>
      </c>
      <c r="B73" t="inlineStr">
        <is>
          <t>07-21</t>
        </is>
      </c>
      <c r="C73" t="inlineStr">
        <is>
          <t>C-плечо: соло, свежим в каждом прогоне (без лестницы/оркестратора) — предрегистрация ключа (а) D-0086</t>
        </is>
      </c>
      <c r="D73" t="inlineStr">
        <is>
          <t>fable</t>
        </is>
      </c>
      <c r="E73" t="inlineStr">
        <is>
          <t>C</t>
        </is>
      </c>
      <c r="F73" t="inlineStr">
        <is>
          <t>t1</t>
        </is>
      </c>
      <c r="G73" t="inlineStr">
        <is>
          <t>да</t>
        </is>
      </c>
      <c r="H73" t="n">
        <v>1.3307</v>
      </c>
      <c r="J73" t="n">
        <v>0.488</v>
      </c>
      <c r="K73">
        <f>IF(J73=0,"н-д (0)",ROUND(H73/J73,1))</f>
        <v/>
      </c>
      <c r="L73" t="inlineStr">
        <is>
          <t>соло, без лестницы</t>
        </is>
      </c>
      <c r="M73" t="inlineStr">
        <is>
          <t>кнопочная реализация приоритетов (2+2*2=8)</t>
        </is>
      </c>
    </row>
    <row r="74">
      <c r="A74" t="inlineStr">
        <is>
          <t>D№1</t>
        </is>
      </c>
      <c r="B74" t="inlineStr">
        <is>
          <t>07-21</t>
        </is>
      </c>
      <c r="C74" t="inlineStr">
        <is>
          <t>C-плечо (соло)</t>
        </is>
      </c>
      <c r="D74" t="inlineStr">
        <is>
          <t>fable</t>
        </is>
      </c>
      <c r="E74" t="inlineStr">
        <is>
          <t>C</t>
        </is>
      </c>
      <c r="F74" t="inlineStr">
        <is>
          <t>t2</t>
        </is>
      </c>
      <c r="G74" t="inlineStr">
        <is>
          <t>НЕТ</t>
        </is>
      </c>
      <c r="H74" t="n">
        <v>2.5208</v>
      </c>
      <c r="J74" t="n">
        <v>0</v>
      </c>
      <c r="K74">
        <f>IF(J74=0,"н-д (0)",ROUND(H74/J74,1))</f>
        <v/>
      </c>
      <c r="L74" t="inlineStr">
        <is>
          <t>соло, без лестницы</t>
        </is>
      </c>
      <c r="M74" t="inlineStr">
        <is>
          <t>ДЕЛИВЕРАБЛ ПОТЕРЯН целиком — оборванный workflow-воркер (класс невидимой потери без журнала, t-244)</t>
        </is>
      </c>
    </row>
    <row r="75">
      <c r="A75" t="inlineStr">
        <is>
          <t>D№1</t>
        </is>
      </c>
      <c r="B75" t="inlineStr">
        <is>
          <t>07-21</t>
        </is>
      </c>
      <c r="C75" t="inlineStr">
        <is>
          <t>C-плечо (соло)</t>
        </is>
      </c>
      <c r="D75" t="inlineStr">
        <is>
          <t>fable</t>
        </is>
      </c>
      <c r="E75" t="inlineStr">
        <is>
          <t>C</t>
        </is>
      </c>
      <c r="F75" t="inlineStr">
        <is>
          <t>t3</t>
        </is>
      </c>
      <c r="G75" t="inlineStr">
        <is>
          <t>да</t>
        </is>
      </c>
      <c r="H75" t="n">
        <v>1.7576</v>
      </c>
      <c r="J75" t="n">
        <v>0.975</v>
      </c>
      <c r="K75">
        <f>IF(J75=0,"н-д (0)",ROUND(H75/J75,1))</f>
        <v/>
      </c>
      <c r="L75" t="inlineStr">
        <is>
          <t>соло, без лестницы</t>
        </is>
      </c>
      <c r="M75" t="inlineStr">
        <is>
          <t>н-д</t>
        </is>
      </c>
    </row>
    <row r="76">
      <c r="A76" t="inlineStr">
        <is>
          <t>D№1</t>
        </is>
      </c>
      <c r="D76" t="inlineStr">
        <is>
          <t>fable</t>
        </is>
      </c>
      <c r="E76" t="inlineStr">
        <is>
          <t>C</t>
        </is>
      </c>
      <c r="F76" t="inlineStr">
        <is>
          <t>ИТОГ ПЛЕЧА</t>
        </is>
      </c>
      <c r="G76" t="inlineStr">
        <is>
          <t>2/3</t>
        </is>
      </c>
      <c r="H76">
        <f>SUM(H73:H75)</f>
        <v/>
      </c>
      <c r="J76">
        <f>ROUND(AVERAGE(J73:J75),3)</f>
        <v/>
      </c>
      <c r="K76">
        <f>IF(OR(J76="",J76=0),"н-д",ROUND(SUM(H73:H75)/J76,1))</f>
        <v/>
      </c>
      <c r="N76" t="inlineStr">
        <is>
          <t>$/доставленную (Runs log 07-21): $2.80 (2/3 — t2 деливерабл потерян целиком); окно 8.4 мин; грейдинг t-244</t>
        </is>
      </c>
    </row>
    <row r="77">
      <c r="A77" t="inlineStr">
        <is>
          <t>D№2</t>
        </is>
      </c>
      <c r="B77" t="inlineStr">
        <is>
          <t>07-21</t>
        </is>
      </c>
      <c r="C77" t="inlineStr">
        <is>
          <t>конструкция №1 (D-плечо)</t>
        </is>
      </c>
      <c r="D77" t="inlineStr">
        <is>
          <t>fable</t>
        </is>
      </c>
      <c r="E77" t="inlineStr">
        <is>
          <t>D</t>
        </is>
      </c>
      <c r="F77" t="inlineStr">
        <is>
          <t>t1</t>
        </is>
      </c>
      <c r="G77" t="inlineStr">
        <is>
          <t>да</t>
        </is>
      </c>
      <c r="H77" t="n">
        <v>2.3945</v>
      </c>
      <c r="J77" t="n">
        <v>0.975</v>
      </c>
      <c r="K77">
        <f>IF(J77=0,"н-д (0)",ROUND(H77/J77,1))</f>
        <v/>
      </c>
      <c r="L77" t="inlineStr">
        <is>
          <t>2× reject sonnet -&gt; эскалация opus (esc1)</t>
        </is>
      </c>
      <c r="M77" t="inlineStr">
        <is>
          <t>н-д</t>
        </is>
      </c>
    </row>
    <row r="78">
      <c r="A78" t="inlineStr">
        <is>
          <t>D№2</t>
        </is>
      </c>
      <c r="B78" t="inlineStr">
        <is>
          <t>07-21</t>
        </is>
      </c>
      <c r="C78" t="inlineStr">
        <is>
          <t>конструкция №1 (D-плечо)</t>
        </is>
      </c>
      <c r="D78" t="inlineStr">
        <is>
          <t>fable</t>
        </is>
      </c>
      <c r="E78" t="inlineStr">
        <is>
          <t>D</t>
        </is>
      </c>
      <c r="F78" t="inlineStr">
        <is>
          <t>t2</t>
        </is>
      </c>
      <c r="G78" t="inlineStr">
        <is>
          <t>да</t>
        </is>
      </c>
      <c r="H78" t="n">
        <v>3.0172</v>
      </c>
      <c r="J78" t="n">
        <v>1</v>
      </c>
      <c r="K78">
        <f>IF(J78=0,"н-д (0)",ROUND(H78/J78,1))</f>
        <v/>
      </c>
      <c r="L78" t="inlineStr">
        <is>
          <t>2× reject haiku -&gt; эскалация sonnet (esc1)</t>
        </is>
      </c>
      <c r="M78" t="inlineStr">
        <is>
          <t>н-д</t>
        </is>
      </c>
    </row>
    <row r="79">
      <c r="A79" t="inlineStr">
        <is>
          <t>D№2</t>
        </is>
      </c>
      <c r="B79" t="inlineStr">
        <is>
          <t>07-21</t>
        </is>
      </c>
      <c r="C79" t="inlineStr">
        <is>
          <t>конструкция №1 (D-плечо)</t>
        </is>
      </c>
      <c r="D79" t="inlineStr">
        <is>
          <t>fable</t>
        </is>
      </c>
      <c r="E79" t="inlineStr">
        <is>
          <t>D</t>
        </is>
      </c>
      <c r="F79" t="inlineStr">
        <is>
          <t>t3</t>
        </is>
      </c>
      <c r="G79" t="inlineStr">
        <is>
          <t>да</t>
        </is>
      </c>
      <c r="H79" t="n">
        <v>0.6238</v>
      </c>
      <c r="J79" t="n">
        <v>0.9625</v>
      </c>
      <c r="K79">
        <f>IF(J79=0,"н-д (0)",ROUND(H79/J79,1))</f>
        <v/>
      </c>
      <c r="L79" t="inlineStr">
        <is>
          <t>ретрай ×1</t>
        </is>
      </c>
      <c r="M79" t="inlineStr">
        <is>
          <t>н-д</t>
        </is>
      </c>
    </row>
    <row r="80">
      <c r="A80" t="inlineStr">
        <is>
          <t>D№2</t>
        </is>
      </c>
      <c r="B80" t="inlineStr">
        <is>
          <t>07-21</t>
        </is>
      </c>
      <c r="C80" t="inlineStr">
        <is>
          <t>конструкция №1 (D-плечо)</t>
        </is>
      </c>
      <c r="D80" t="inlineStr">
        <is>
          <t>fable</t>
        </is>
      </c>
      <c r="E80" t="inlineStr">
        <is>
          <t>D</t>
        </is>
      </c>
      <c r="F80" t="inlineStr">
        <is>
          <t>судья</t>
        </is>
      </c>
      <c r="H80" t="n">
        <v>0.2062</v>
      </c>
    </row>
    <row r="81">
      <c r="A81" t="inlineStr">
        <is>
          <t>D№2</t>
        </is>
      </c>
      <c r="D81" t="inlineStr">
        <is>
          <t>fable</t>
        </is>
      </c>
      <c r="E81" t="inlineStr">
        <is>
          <t>D</t>
        </is>
      </c>
      <c r="F81" t="inlineStr">
        <is>
          <t>ИТОГ ПЛЕЧА</t>
        </is>
      </c>
      <c r="G81" t="inlineStr">
        <is>
          <t>3/3</t>
        </is>
      </c>
      <c r="H81">
        <f>SUM(H77:H80)</f>
        <v/>
      </c>
      <c r="J81">
        <f>ROUND(AVERAGE(J77:J80),3)</f>
        <v/>
      </c>
      <c r="K81">
        <f>IF(OR(J81="",J81=0),"н-д",ROUND(SUM(H77:H80)/J81,1))</f>
        <v/>
      </c>
      <c r="N81" t="inlineStr">
        <is>
          <t>$/принятую (Runs log 07-21): $2.08; окно ~35 мин сырым (тот же артефакт последовательного сплита Dsn→Dhk); форензика t-246 ЧИСТАЯ — все 5 реджектов серии по существу, артефакт-класс t-244/t-245 в №2 не проявился</t>
        </is>
      </c>
    </row>
    <row r="82">
      <c r="A82" t="inlineStr">
        <is>
          <t>D№2</t>
        </is>
      </c>
      <c r="B82" t="inlineStr">
        <is>
          <t>07-21</t>
        </is>
      </c>
      <c r="C82" t="inlineStr">
        <is>
          <t>C-плечо (соло)</t>
        </is>
      </c>
      <c r="D82" t="inlineStr">
        <is>
          <t>fable</t>
        </is>
      </c>
      <c r="E82" t="inlineStr">
        <is>
          <t>C</t>
        </is>
      </c>
      <c r="F82" t="inlineStr">
        <is>
          <t>t1</t>
        </is>
      </c>
      <c r="G82" t="inlineStr">
        <is>
          <t>да</t>
        </is>
      </c>
      <c r="H82" t="n">
        <v>1.3645</v>
      </c>
      <c r="J82" t="n">
        <v>0.44</v>
      </c>
      <c r="K82">
        <f>IF(J82=0,"н-д (0)",ROUND(H82/J82,1))</f>
        <v/>
      </c>
      <c r="L82" t="inlineStr">
        <is>
          <t>соло, без лестницы</t>
        </is>
      </c>
      <c r="M82" t="inlineStr">
        <is>
          <t>н-д</t>
        </is>
      </c>
    </row>
    <row r="83">
      <c r="A83" t="inlineStr">
        <is>
          <t>D№2</t>
        </is>
      </c>
      <c r="B83" t="inlineStr">
        <is>
          <t>07-21</t>
        </is>
      </c>
      <c r="C83" t="inlineStr">
        <is>
          <t>C-плечо (соло)</t>
        </is>
      </c>
      <c r="D83" t="inlineStr">
        <is>
          <t>fable</t>
        </is>
      </c>
      <c r="E83" t="inlineStr">
        <is>
          <t>C</t>
        </is>
      </c>
      <c r="F83" t="inlineStr">
        <is>
          <t>t2</t>
        </is>
      </c>
      <c r="G83" t="inlineStr">
        <is>
          <t>да</t>
        </is>
      </c>
      <c r="H83" t="n">
        <v>1.7544</v>
      </c>
      <c r="J83" t="n">
        <v>0.77</v>
      </c>
      <c r="K83">
        <f>IF(J83=0,"н-д (0)",ROUND(H83/J83,1))</f>
        <v/>
      </c>
      <c r="L83" t="inlineStr">
        <is>
          <t>соло, без лестницы</t>
        </is>
      </c>
      <c r="M83" t="inlineStr">
        <is>
          <t>деливерабл только в чате/stdout — файла нет (D-ось 0.3)</t>
        </is>
      </c>
    </row>
    <row r="84">
      <c r="A84" t="inlineStr">
        <is>
          <t>D№2</t>
        </is>
      </c>
      <c r="B84" t="inlineStr">
        <is>
          <t>07-21</t>
        </is>
      </c>
      <c r="C84" t="inlineStr">
        <is>
          <t>C-плечо (соло)</t>
        </is>
      </c>
      <c r="D84" t="inlineStr">
        <is>
          <t>fable</t>
        </is>
      </c>
      <c r="E84" t="inlineStr">
        <is>
          <t>C</t>
        </is>
      </c>
      <c r="F84" t="inlineStr">
        <is>
          <t>t3</t>
        </is>
      </c>
      <c r="G84" t="inlineStr">
        <is>
          <t>да</t>
        </is>
      </c>
      <c r="H84" t="n">
        <v>1.0875</v>
      </c>
      <c r="J84" t="n">
        <v>0.9875</v>
      </c>
      <c r="K84">
        <f>IF(J84=0,"н-д (0)",ROUND(H84/J84,1))</f>
        <v/>
      </c>
      <c r="L84" t="inlineStr">
        <is>
          <t>соло, без лестницы</t>
        </is>
      </c>
      <c r="M84" t="inlineStr">
        <is>
          <t>н-д</t>
        </is>
      </c>
    </row>
    <row r="85">
      <c r="A85" t="inlineStr">
        <is>
          <t>D№2</t>
        </is>
      </c>
      <c r="D85" t="inlineStr">
        <is>
          <t>fable</t>
        </is>
      </c>
      <c r="E85" t="inlineStr">
        <is>
          <t>C</t>
        </is>
      </c>
      <c r="F85" t="inlineStr">
        <is>
          <t>ИТОГ ПЛЕЧА</t>
        </is>
      </c>
      <c r="G85" t="inlineStr">
        <is>
          <t>3/3</t>
        </is>
      </c>
      <c r="H85">
        <f>SUM(H82:H84)</f>
        <v/>
      </c>
      <c r="J85">
        <f>ROUND(AVERAGE(J82:J84),3)</f>
        <v/>
      </c>
      <c r="K85">
        <f>IF(OR(J85="",J85=0),"н-д",ROUND(SUM(H82:H84)/J85,1))</f>
        <v/>
      </c>
      <c r="N85" t="inlineStr">
        <is>
          <t>$/принятую (Runs log 07-21): $1.40; окно 6.2 мин; грейдинг t-246</t>
        </is>
      </c>
    </row>
    <row r="86">
      <c r="A86" t="inlineStr">
        <is>
          <t>D№3</t>
        </is>
      </c>
      <c r="B86" t="inlineStr">
        <is>
          <t>07-21</t>
        </is>
      </c>
      <c r="C86" t="inlineStr">
        <is>
          <t>оркестратор exam_runD_orchestrator — конструкция №1 (D-0085 allocate-лестница haiku/sonnet/opus + judge-sonnet приёмка, ключи R4' по D-0086); фикшенный eval-код (t-245: пересчёт baseline_hashes exclusions перед каждым вызовом судьи)</t>
        </is>
      </c>
      <c r="D86" t="inlineStr">
        <is>
          <t>fable</t>
        </is>
      </c>
      <c r="E86" t="inlineStr">
        <is>
          <t>D</t>
        </is>
      </c>
      <c r="F86" t="inlineStr">
        <is>
          <t>t1</t>
        </is>
      </c>
      <c r="G86" t="inlineStr">
        <is>
          <t>да</t>
        </is>
      </c>
      <c r="H86" t="n">
        <v>2.07</v>
      </c>
      <c r="J86" t="n">
        <v>0.975</v>
      </c>
      <c r="K86">
        <f>IF(J86=0,"н-д (0)",ROUND(H86/J86,1))</f>
        <v/>
      </c>
      <c r="L86" t="inlineStr">
        <is>
          <t>эскалация opus (паттерн 3-й раз подряд)</t>
        </is>
      </c>
      <c r="M86" t="inlineStr">
        <is>
          <t>н-д</t>
        </is>
      </c>
    </row>
    <row r="87">
      <c r="A87" t="inlineStr">
        <is>
          <t>D№3</t>
        </is>
      </c>
      <c r="B87" t="inlineStr">
        <is>
          <t>07-21</t>
        </is>
      </c>
      <c r="C87" t="inlineStr">
        <is>
          <t>конструкция №1 (D-плечо)</t>
        </is>
      </c>
      <c r="D87" t="inlineStr">
        <is>
          <t>fable</t>
        </is>
      </c>
      <c r="E87" t="inlineStr">
        <is>
          <t>D</t>
        </is>
      </c>
      <c r="F87" t="inlineStr">
        <is>
          <t>t2</t>
        </is>
      </c>
      <c r="G87" t="inlineStr">
        <is>
          <t>да</t>
        </is>
      </c>
      <c r="H87" t="n">
        <v>1.9665</v>
      </c>
      <c r="J87" t="n">
        <v>1</v>
      </c>
      <c r="K87">
        <f>IF(J87=0,"н-д (0)",ROUND(H87/J87,1))</f>
        <v/>
      </c>
      <c r="L87" t="inlineStr">
        <is>
          <t>эскалация sonnet (esc1, retry1 внутри)</t>
        </is>
      </c>
      <c r="M87" t="inlineStr">
        <is>
          <t>ГАЛЛЮЦИНАЦИЯ СУДЬИ (Dhk/t2 retry1): объявил существующий _check_nested_chain несуществующим (живой grep клона: core.py:82,1782,2156) — эскалация haiku-&gt;sonnet частично контаминирована (кандидат judge-калибровочного детектора, t-247)</t>
        </is>
      </c>
    </row>
    <row r="88">
      <c r="A88" t="inlineStr">
        <is>
          <t>D№3</t>
        </is>
      </c>
      <c r="B88" t="inlineStr">
        <is>
          <t>07-21</t>
        </is>
      </c>
      <c r="C88" t="inlineStr">
        <is>
          <t>конструкция №1 (D-плечо)</t>
        </is>
      </c>
      <c r="D88" t="inlineStr">
        <is>
          <t>fable</t>
        </is>
      </c>
      <c r="E88" t="inlineStr">
        <is>
          <t>D</t>
        </is>
      </c>
      <c r="F88" t="inlineStr">
        <is>
          <t>t3</t>
        </is>
      </c>
      <c r="G88" t="inlineStr">
        <is>
          <t>да</t>
        </is>
      </c>
      <c r="H88" t="n">
        <v>0.6783</v>
      </c>
      <c r="J88" t="n">
        <v>0.95</v>
      </c>
      <c r="K88">
        <f>IF(J88=0,"н-д (0)",ROUND(H88/J88,1))</f>
        <v/>
      </c>
      <c r="L88" t="inlineStr">
        <is>
          <t>ретрай ×1</t>
        </is>
      </c>
      <c r="M88" t="inlineStr">
        <is>
          <t>н-д</t>
        </is>
      </c>
    </row>
    <row r="89">
      <c r="A89" t="inlineStr">
        <is>
          <t>D№3</t>
        </is>
      </c>
      <c r="B89" t="inlineStr">
        <is>
          <t>07-21</t>
        </is>
      </c>
      <c r="C89" t="inlineStr">
        <is>
          <t>конструкция №1 (D-плечо)</t>
        </is>
      </c>
      <c r="D89" t="inlineStr">
        <is>
          <t>fable</t>
        </is>
      </c>
      <c r="E89" t="inlineStr">
        <is>
          <t>D</t>
        </is>
      </c>
      <c r="F89" t="inlineStr">
        <is>
          <t>судья</t>
        </is>
      </c>
      <c r="H89" t="n">
        <v>0.2714</v>
      </c>
    </row>
    <row r="90">
      <c r="A90" t="inlineStr">
        <is>
          <t>D№3</t>
        </is>
      </c>
      <c r="D90" t="inlineStr">
        <is>
          <t>fable</t>
        </is>
      </c>
      <c r="E90" t="inlineStr">
        <is>
          <t>D</t>
        </is>
      </c>
      <c r="F90" t="inlineStr">
        <is>
          <t>ИТОГ ПЛЕЧА</t>
        </is>
      </c>
      <c r="G90" t="inlineStr">
        <is>
          <t>3/3</t>
        </is>
      </c>
      <c r="H90">
        <f>SUM(H86:H89)</f>
        <v/>
      </c>
      <c r="J90">
        <f>ROUND(AVERAGE(J86:J89),3)</f>
        <v/>
      </c>
      <c r="K90">
        <f>IF(OR(J90="",J90=0),"н-д",ROUND(SUM(H86:H89)/J90,1))</f>
        <v/>
      </c>
      <c r="N90" t="inlineStr">
        <is>
          <t>$/принятую (Runs log 07-21): $1.66 (лучшая точка серии, чистый фикшенный eval-код); окно ~32 мин сырым; форензика t-247: 4 из 5 реджектов по существу, 1 галлюцинация судьи (см. t2). МЕДИАНА СЕРИИ D (№1-№3, Runs log 07-21 / DEPLOYMENT_ECONOMY_EXAM.md): $/принятую $2.08, скаляр 0.975</t>
        </is>
      </c>
    </row>
    <row r="91">
      <c r="A91" t="inlineStr">
        <is>
          <t>D№3</t>
        </is>
      </c>
      <c r="B91" t="inlineStr">
        <is>
          <t>07-21</t>
        </is>
      </c>
      <c r="C91" t="inlineStr">
        <is>
          <t>C-плечо (соло)</t>
        </is>
      </c>
      <c r="D91" t="inlineStr">
        <is>
          <t>fable</t>
        </is>
      </c>
      <c r="E91" t="inlineStr">
        <is>
          <t>C</t>
        </is>
      </c>
      <c r="F91" t="inlineStr">
        <is>
          <t>t1</t>
        </is>
      </c>
      <c r="G91" t="inlineStr">
        <is>
          <t>да</t>
        </is>
      </c>
      <c r="H91" t="n">
        <v>1.76</v>
      </c>
      <c r="J91" t="n">
        <v>0.41</v>
      </c>
      <c r="K91">
        <f>IF(J91=0,"н-д (0)",ROUND(H91/J91,1))</f>
        <v/>
      </c>
      <c r="L91" t="inlineStr">
        <is>
          <t>соло, без лестницы</t>
        </is>
      </c>
      <c r="M91" t="inlineStr">
        <is>
          <t>интерпретационный класс (кнопочная трактовка приоритетов) — решение Lead: оценка по запиненной батарее сохранена (консистентность с №13/№18)</t>
        </is>
      </c>
    </row>
    <row r="92">
      <c r="A92" t="inlineStr">
        <is>
          <t>D№3</t>
        </is>
      </c>
      <c r="B92" t="inlineStr">
        <is>
          <t>07-21</t>
        </is>
      </c>
      <c r="C92" t="inlineStr">
        <is>
          <t>C-плечо (соло)</t>
        </is>
      </c>
      <c r="D92" t="inlineStr">
        <is>
          <t>fable</t>
        </is>
      </c>
      <c r="E92" t="inlineStr">
        <is>
          <t>C</t>
        </is>
      </c>
      <c r="F92" t="inlineStr">
        <is>
          <t>t2</t>
        </is>
      </c>
      <c r="G92" t="inlineStr">
        <is>
          <t>да</t>
        </is>
      </c>
      <c r="H92" t="n">
        <v>4.3828</v>
      </c>
      <c r="J92" t="n">
        <v>1</v>
      </c>
      <c r="K92">
        <f>IF(J92=0,"н-д (0)",ROUND(H92/J92,1))</f>
        <v/>
      </c>
      <c r="L92" t="inlineStr">
        <is>
          <t>соло, без лестницы</t>
        </is>
      </c>
      <c r="M92" t="inlineStr">
        <is>
          <t>н-д</t>
        </is>
      </c>
    </row>
    <row r="93">
      <c r="A93" t="inlineStr">
        <is>
          <t>D№3</t>
        </is>
      </c>
      <c r="B93" t="inlineStr">
        <is>
          <t>07-21</t>
        </is>
      </c>
      <c r="C93" t="inlineStr">
        <is>
          <t>C-плечо (соло)</t>
        </is>
      </c>
      <c r="D93" t="inlineStr">
        <is>
          <t>fable</t>
        </is>
      </c>
      <c r="E93" t="inlineStr">
        <is>
          <t>C</t>
        </is>
      </c>
      <c r="F93" t="inlineStr">
        <is>
          <t>t3</t>
        </is>
      </c>
      <c r="G93" t="inlineStr">
        <is>
          <t>да</t>
        </is>
      </c>
      <c r="H93" t="n">
        <v>1.6422</v>
      </c>
      <c r="J93" t="n">
        <v>0.99</v>
      </c>
      <c r="K93">
        <f>IF(J93=0,"н-д (0)",ROUND(H93/J93,1))</f>
        <v/>
      </c>
      <c r="L93" t="inlineStr">
        <is>
          <t>соло, без лестницы</t>
        </is>
      </c>
      <c r="M93" t="inlineStr">
        <is>
          <t>н-д</t>
        </is>
      </c>
    </row>
    <row r="94">
      <c r="A94" t="inlineStr">
        <is>
          <t>D№3</t>
        </is>
      </c>
      <c r="D94" t="inlineStr">
        <is>
          <t>fable</t>
        </is>
      </c>
      <c r="E94" t="inlineStr">
        <is>
          <t>C</t>
        </is>
      </c>
      <c r="F94" t="inlineStr">
        <is>
          <t>ИТОГ ПЛЕЧА</t>
        </is>
      </c>
      <c r="G94" t="inlineStr">
        <is>
          <t>3/3</t>
        </is>
      </c>
      <c r="H94">
        <f>SUM(H91:H93)</f>
        <v/>
      </c>
      <c r="J94">
        <f>ROUND(AVERAGE(J91:J93),3)</f>
        <v/>
      </c>
      <c r="K94">
        <f>IF(OR(J94="",J94=0),"н-д",ROUND(SUM(H91:H93)/J94,1))</f>
        <v/>
      </c>
      <c r="N94" t="inlineStr">
        <is>
          <t>$/принятую (Runs log 07-21): $2.60; окно 11.8 мин; грейдинг t-247. МЕДИАНА СЕРИИ C (№1-№3, Runs log 07-21 / DEPLOYMENT_ECONOMY_EXAM.md): $/принятую $2.60, скаляр 0.733</t>
        </is>
      </c>
    </row>
    <row r="95">
      <c r="A95" t="inlineStr">
        <is>
          <t>№19</t>
        </is>
      </c>
      <c r="B95" t="inlineStr">
        <is>
          <t>07-30</t>
        </is>
      </c>
      <c r="C95" t="inlineStr">
        <is>
          <t>exam_fullgates_kit @ 613fd06 (= штаб a987738; ЭПОХА v0.6.0: validator designer/judge-scope, dispatch_gate word-boundary + given-path {0,300}, critic.md правило 16; 8 записанных адаптаций kit_sources.json; синк t-347)</t>
        </is>
      </c>
      <c r="D95" t="inlineStr">
        <is>
          <t>sonnet</t>
        </is>
      </c>
      <c r="E95" t="inlineStr">
        <is>
          <t>Bkn4</t>
        </is>
      </c>
      <c r="F95" t="inlineStr">
        <is>
          <t>t1</t>
        </is>
      </c>
      <c r="G95" t="inlineStr">
        <is>
          <t>да</t>
        </is>
      </c>
      <c r="H95" t="n">
        <v>6.7451</v>
      </c>
      <c r="I95" t="n">
        <v>36.2</v>
      </c>
      <c r="J95" t="n">
        <v>0.7</v>
      </c>
      <c r="K95">
        <f>IF(J95=0,"н-д (0)",ROUND(H95/J95,1))</f>
        <v/>
      </c>
      <c r="L95" t="inlineStr">
        <is>
          <t>н-д (окно грязное: параллельные Lead/AO3-сессии; tier_path-срез не снят)</t>
        </is>
      </c>
      <c r="M95" t="inlineStr">
        <is>
          <t>ось D 0.20: деливерабл сдан Artifact-ссылкой + session-scratchpad ВНЕ клетки (корень — дыра headless-протеза: прокси-вердикт не ограничил деливерабл клеткой; кандидат упрочнения в очереди); ключ 2 (2+2*2) через вердикт прокси — вердиктом Lead дефектом клетки НЕ считается (прецедент «кто спросил — выиграл»); НОВАЯ находка: все дроби (0,1) уходят в экспоненту (digitCount считает ведущий 0 в бюджет MAX_DIGITS); R6-отклонение (3 rejected без эскалации) ЗАПИСАНО честно с основанием</t>
        </is>
      </c>
      <c r="N95" t="inlineStr">
        <is>
          <t>journal_echo живьём: 16 дефектов журнала поймано на записи и исправлено клеткой; kill 7/8</t>
        </is>
      </c>
    </row>
    <row r="96">
      <c r="A96" t="inlineStr">
        <is>
          <t>№19</t>
        </is>
      </c>
      <c r="B96" t="inlineStr">
        <is>
          <t>07-30</t>
        </is>
      </c>
      <c r="C96" t="inlineStr">
        <is>
          <t>exam_fullgates_kit @ 613fd06</t>
        </is>
      </c>
      <c r="D96" t="inlineStr">
        <is>
          <t>sonnet</t>
        </is>
      </c>
      <c r="E96" t="inlineStr">
        <is>
          <t>Bkn4</t>
        </is>
      </c>
      <c r="F96" t="inlineStr">
        <is>
          <t>t2</t>
        </is>
      </c>
      <c r="G96" t="inlineStr">
        <is>
          <t>да</t>
        </is>
      </c>
      <c r="H96" t="n">
        <v>1.8719</v>
      </c>
      <c r="I96" t="n">
        <v>10.1</v>
      </c>
      <c r="J96" t="n">
        <v>0.8667</v>
      </c>
      <c r="K96">
        <f>IF(J96=0,"н-д (0)",ROUND(H96/J96,1))</f>
        <v/>
      </c>
      <c r="L96" t="inlineStr">
        <is>
          <t>н-д (окно грязное: параллельные Lead/AO3-сессии; tier_path-срез не снят)</t>
        </is>
      </c>
      <c r="M96" t="inlineStr">
        <is>
          <t>критик-на-план НЕ вызван (все три прежние точки ядра его имели; оба дефекта привязки — его класс); 2 неверные привязки: _complete_visible_commands в shell_completion.py вместо core.py:63 (рецидив класса №18) и правки docs/*.rst при 0 .rst в клоне; 25/26 точечных привязок точны, 18/18 границ</t>
        </is>
      </c>
      <c r="N96" t="inlineStr">
        <is>
          <t>самоприёмка Lead-класса легальна лишь через agent=lead-исключение валидатора, очередь к Lead не записана; полный цикл прокси по развилке объёма (recipe vs core-feature) — R11a образцово</t>
        </is>
      </c>
    </row>
    <row r="97">
      <c r="A97" t="inlineStr">
        <is>
          <t>№19</t>
        </is>
      </c>
      <c r="B97" t="inlineStr">
        <is>
          <t>07-30</t>
        </is>
      </c>
      <c r="C97" t="inlineStr">
        <is>
          <t>exam_fullgates_kit @ 613fd06</t>
        </is>
      </c>
      <c r="D97" t="inlineStr">
        <is>
          <t>sonnet</t>
        </is>
      </c>
      <c r="E97" t="inlineStr">
        <is>
          <t>Bkn4</t>
        </is>
      </c>
      <c r="F97" t="inlineStr">
        <is>
          <t>t3</t>
        </is>
      </c>
      <c r="G97" t="inlineStr">
        <is>
          <t>да</t>
        </is>
      </c>
      <c r="H97" t="n">
        <v>2.9831</v>
      </c>
      <c r="I97" t="n">
        <v>13.6</v>
      </c>
      <c r="J97" t="n">
        <v>0.8425</v>
      </c>
      <c r="K97">
        <f>IF(J97=0,"н-д (0)",ROUND(H97/J97,1))</f>
        <v/>
      </c>
      <c r="L97" t="inlineStr">
        <is>
          <t>н-д (окно грязное: параллельные Lead/AO3-сессии; tier_path-срез не снят)</t>
        </is>
      </c>
      <c r="M97" t="inlineStr">
        <is>
          <t>M2 SURVIVED: симметричная половина класса задачи без детектора (живое вождение: мутант отказывается отметить задачу, которую list показывает; батарея зелёная) — пропустили ДВА слоя: спека-перечень тестов (check-23) и критик по прямому вопросу об анти-рецидиве; регресс против №17-t3 (6/6); kill 6/8</t>
        </is>
      </c>
      <c r="N97" t="inlineStr">
        <is>
          <t>journal_echo: 2+2 дефекта поймано на записи (вкл. буквальные _PLACEHOLDER-таймстампы)</t>
        </is>
      </c>
    </row>
    <row r="98">
      <c r="A98" t="inlineStr">
        <is>
          <t>№19</t>
        </is>
      </c>
      <c r="D98" t="inlineStr">
        <is>
          <t>sonnet</t>
        </is>
      </c>
      <c r="E98" t="inlineStr">
        <is>
          <t>Bkn4</t>
        </is>
      </c>
      <c r="F98" t="inlineStr">
        <is>
          <t>ИТОГ ПЛЕЧА</t>
        </is>
      </c>
      <c r="G98" t="inlineStr">
        <is>
          <t>3/3</t>
        </is>
      </c>
      <c r="H98">
        <f>SUM(H95:H97)</f>
        <v/>
      </c>
      <c r="I98">
        <f>SUM(I95:I97)</f>
        <v/>
      </c>
      <c r="J98">
        <f>ROUND(AVERAGE(J95:J97),3)</f>
        <v/>
      </c>
      <c r="K98">
        <f>IF(OR(J98="",J98=0),"н-д",ROUND(SUM(H95:H97)/J98,1))</f>
        <v/>
      </c>
      <c r="N98" t="inlineStr">
        <is>
          <t>сводный = среднее задачных; Runs log 07-30: скаляр 0.803, $3.87/принятую (вал $11.60) — цена в полосе серии; k2 = 0/0/0 ЗАРАБОТАН КОДОМ — первое полевое e2e journal_echo (21 дефект пойман на записи и исправлен клетками; по первой записи прогон был бы худшим серии); k4 100% inline-DoD с чек-листом D-0096 и краями R11 (разворот 67%→17%→100% — кодификация работает); k3 0/7 (3 accepted вне матрицы через agent=lead по построению); k6 ЧИСТ ЗАМЕРОМ Lead (4/4 заявленных fable-прокси реальны: 4/2/2 fable-строк транскриптов); k7 0 ложных блоков (3 блока легитимны), given-path 0 WARN честным негативом (область: 1/19 диспатчей — пути вне корня вне области); k8 designer-диспатчей 0; МЕДИАНА ЧЕТЫРЁХ ТОЧЕК ЯДРА 0.94/0.90/0.92/0.803 = 0.91 — ниже полосы за счёт t1-эфемерности (корень протез, не политика); грейдинг t-348 (opus), лог grading/Bkn4-probes.md полигона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1" customWidth="1" min="4" max="4"/>
    <col width="7" customWidth="1" min="5" max="5"/>
    <col width="16" customWidth="1" min="6" max="6"/>
    <col width="10" customWidth="1" min="7" max="7"/>
    <col width="11" customWidth="1" min="8" max="8"/>
    <col width="9" customWidth="1" min="9" max="9"/>
    <col width="9" customWidth="1" min="10" max="10"/>
    <col width="10" customWidth="1" min="11" max="11"/>
    <col width="14" customWidth="1" min="12" max="12"/>
    <col width="40" customWidth="1" min="13" max="13"/>
    <col width="42" customWidth="1" min="14" max="14"/>
  </cols>
  <sheetData>
    <row r="1">
      <c r="A1" s="1" t="inlineStr">
        <is>
          <t>БОЛЬШИЕ ЭКЗАМЕНЫ (набор №2, многосессионные). Прогоны №5/№6: трекер расходов, 4 сессии на плечо; скаляры — финальные после вердиктов оператора 07-16. Полный разбор: docs/tasks/2026-07-15_economy-exam-runs5-6.md.</t>
        </is>
      </c>
    </row>
    <row r="3">
      <c r="A3" s="2" t="inlineStr">
        <is>
          <t>Прогон</t>
        </is>
      </c>
      <c r="B3" s="2" t="inlineStr">
        <is>
          <t>Дата</t>
        </is>
      </c>
      <c r="C3" s="2" t="inlineStr">
        <is>
          <t>Кит</t>
        </is>
      </c>
      <c r="D3" s="2" t="inlineStr">
        <is>
          <t>Координатор</t>
        </is>
      </c>
      <c r="E3" s="2" t="inlineStr">
        <is>
          <t>Плечо</t>
        </is>
      </c>
      <c r="F3" s="2" t="inlineStr">
        <is>
          <t>Задача</t>
        </is>
      </c>
      <c r="G3" s="2" t="inlineStr">
        <is>
          <t>Сдано</t>
        </is>
      </c>
      <c r="H3" s="2" t="inlineStr">
        <is>
          <t>Цена $ (вал)</t>
        </is>
      </c>
      <c r="I3" s="2" t="inlineStr">
        <is>
          <t>Wall, мин</t>
        </is>
      </c>
      <c r="J3" s="2" t="inlineStr">
        <is>
          <t>Скаляр 6б</t>
        </is>
      </c>
      <c r="K3" s="2" t="inlineStr">
        <is>
          <t>F ($/взвеш.точку)</t>
        </is>
      </c>
      <c r="L3" s="2" t="inlineStr">
        <is>
          <t>Делегирование</t>
        </is>
      </c>
      <c r="M3" s="2" t="inlineStr">
        <is>
          <t>Пропущенные баги/дефекты</t>
        </is>
      </c>
      <c r="N3" s="2" t="inlineStr">
        <is>
          <t>Примечания</t>
        </is>
      </c>
    </row>
    <row r="4">
      <c r="A4" s="3" t="inlineStr">
        <is>
          <t>№5</t>
        </is>
      </c>
      <c r="B4" s="3" t="inlineStr">
        <is>
          <t>07-15</t>
        </is>
      </c>
      <c r="C4" s="3" t="inlineStr">
        <is>
          <t>kit 2560d2b</t>
        </is>
      </c>
      <c r="D4" s="3" t="inlineStr">
        <is>
          <t>sonnet</t>
        </is>
      </c>
      <c r="E4" s="3" t="inlineStr">
        <is>
          <t>A</t>
        </is>
      </c>
      <c r="F4" s="3" t="inlineStr">
        <is>
          <t>трекер расходов</t>
        </is>
      </c>
      <c r="G4" s="3" t="inlineStr">
        <is>
          <t>3/3 сессий</t>
        </is>
      </c>
      <c r="H4" s="3" t="n">
        <v>5.69</v>
      </c>
      <c r="I4" s="3" t="n">
        <v>21</v>
      </c>
      <c r="J4" s="3" t="n">
        <v>0.64</v>
      </c>
      <c r="K4" s="3">
        <f>ROUND(H4/J4,1)</f>
        <v/>
      </c>
      <c r="L4" s="3" t="inlineStr">
        <is>
          <t>делег. 21%</t>
        </is>
      </c>
      <c r="M4" s="3" t="inlineStr">
        <is>
          <t>унёс чужой латентный баг не глядя</t>
        </is>
      </c>
      <c r="N4" s="3" t="inlineStr">
        <is>
          <t>скаляры финальные (вердикты оператора 07-16)</t>
        </is>
      </c>
    </row>
    <row r="5">
      <c r="A5" s="3" t="inlineStr">
        <is>
          <t>№5</t>
        </is>
      </c>
      <c r="B5" s="3" t="inlineStr">
        <is>
          <t>07-15</t>
        </is>
      </c>
      <c r="C5" s="3" t="inlineStr">
        <is>
          <t>kit 2560d2b</t>
        </is>
      </c>
      <c r="D5" s="3" t="inlineStr">
        <is>
          <t>sonnet</t>
        </is>
      </c>
      <c r="E5" s="3" t="inlineStr">
        <is>
          <t>B</t>
        </is>
      </c>
      <c r="F5" s="3" t="inlineStr">
        <is>
          <t>трекер расходов</t>
        </is>
      </c>
      <c r="G5" s="3" t="inlineStr">
        <is>
          <t>3/3</t>
        </is>
      </c>
      <c r="H5" s="3" t="n">
        <v>31.91</v>
      </c>
      <c r="I5" s="3" t="n">
        <v>121</v>
      </c>
      <c r="J5" s="3" t="n">
        <v>0.7</v>
      </c>
      <c r="K5" s="3">
        <f>ROUND(H5/J5,1)</f>
        <v/>
      </c>
      <c r="L5" s="3" t="inlineStr">
        <is>
          <t>делег. 68%</t>
        </is>
      </c>
      <c r="M5" s="3" t="inlineStr">
        <is>
          <t>13 нарушений журнала полевого B-Sonnet</t>
        </is>
      </c>
      <c r="N5" s="3" t="inlineStr">
        <is>
          <t>«кто спросил — выиграл» (валюты/дубль)</t>
        </is>
      </c>
    </row>
    <row r="6">
      <c r="A6" s="3" t="inlineStr">
        <is>
          <t>№5</t>
        </is>
      </c>
      <c r="B6" s="3" t="inlineStr">
        <is>
          <t>07-15</t>
        </is>
      </c>
      <c r="C6" s="3" t="inlineStr">
        <is>
          <t>kit 2560d2b</t>
        </is>
      </c>
      <c r="D6" s="3" t="inlineStr">
        <is>
          <t>sonnet</t>
        </is>
      </c>
      <c r="E6" s="3" t="inlineStr">
        <is>
          <t>C</t>
        </is>
      </c>
      <c r="F6" s="3" t="inlineStr">
        <is>
          <t>трекер расходов</t>
        </is>
      </c>
      <c r="G6" s="3" t="inlineStr">
        <is>
          <t>3/3</t>
        </is>
      </c>
      <c r="H6" s="3" t="n">
        <v>12.67</v>
      </c>
      <c r="I6" s="3" t="n">
        <v>50</v>
      </c>
      <c r="J6" s="3" t="n">
        <v>0.7</v>
      </c>
      <c r="K6" s="3">
        <f>ROUND(H6/J6,1)</f>
        <v/>
      </c>
      <c r="L6" s="3" t="inlineStr">
        <is>
          <t>делег. 70%</t>
        </is>
      </c>
      <c r="M6" s="3" t="inlineStr"/>
      <c r="N6" s="3" t="inlineStr"/>
    </row>
    <row r="7">
      <c r="A7" s="3" t="inlineStr">
        <is>
          <t>№6</t>
        </is>
      </c>
      <c r="B7" s="3" t="inlineStr">
        <is>
          <t>07-15</t>
        </is>
      </c>
      <c r="C7" s="3" t="inlineStr">
        <is>
          <t>kit 2560d2b</t>
        </is>
      </c>
      <c r="D7" s="3" t="inlineStr">
        <is>
          <t>fable</t>
        </is>
      </c>
      <c r="E7" s="3" t="inlineStr">
        <is>
          <t>A</t>
        </is>
      </c>
      <c r="F7" s="3" t="inlineStr">
        <is>
          <t>трекер расходов</t>
        </is>
      </c>
      <c r="G7" s="3" t="inlineStr">
        <is>
          <t>3/3</t>
        </is>
      </c>
      <c r="H7" s="3" t="n">
        <v>13.83</v>
      </c>
      <c r="I7" s="3" t="n">
        <v>29</v>
      </c>
      <c r="J7" s="3" t="n">
        <v>0.72</v>
      </c>
      <c r="K7" s="3">
        <f>ROUND(H7/J7,1)</f>
        <v/>
      </c>
      <c r="L7" s="3" t="inlineStr">
        <is>
          <t>делег. 8%</t>
        </is>
      </c>
      <c r="M7" s="3" t="inlineStr"/>
      <c r="N7" s="3" t="inlineStr"/>
    </row>
    <row r="8">
      <c r="A8" s="3" t="inlineStr">
        <is>
          <t>№6</t>
        </is>
      </c>
      <c r="B8" s="3" t="inlineStr">
        <is>
          <t>07-15</t>
        </is>
      </c>
      <c r="C8" s="3" t="inlineStr">
        <is>
          <t>kit 2560d2b</t>
        </is>
      </c>
      <c r="D8" s="3" t="inlineStr">
        <is>
          <t>fable</t>
        </is>
      </c>
      <c r="E8" s="3" t="inlineStr">
        <is>
          <t>B</t>
        </is>
      </c>
      <c r="F8" s="3" t="inlineStr">
        <is>
          <t>трекер расходов</t>
        </is>
      </c>
      <c r="G8" s="3" t="inlineStr">
        <is>
          <t>3/3</t>
        </is>
      </c>
      <c r="H8" s="3" t="n">
        <v>36.46</v>
      </c>
      <c r="I8" s="3" t="n">
        <v>101</v>
      </c>
      <c r="J8" s="3" t="n">
        <v>0.86</v>
      </c>
      <c r="K8" s="3">
        <f>ROUND(H8/J8,1)</f>
        <v/>
      </c>
      <c r="L8" s="3" t="inlineStr">
        <is>
          <t>делег. 53%</t>
        </is>
      </c>
      <c r="M8" s="3" t="inlineStr"/>
      <c r="N8" s="3" t="inlineStr">
        <is>
          <t>ЕДИНСТВЕННЫЙ сдал тесты (167 passed); вопросы вверх окупились (D-0077)</t>
        </is>
      </c>
    </row>
    <row r="9">
      <c r="A9" s="3" t="inlineStr">
        <is>
          <t>№6</t>
        </is>
      </c>
      <c r="B9" s="3" t="inlineStr">
        <is>
          <t>07-15</t>
        </is>
      </c>
      <c r="C9" s="3" t="inlineStr">
        <is>
          <t>kit 2560d2b</t>
        </is>
      </c>
      <c r="D9" s="3" t="inlineStr">
        <is>
          <t>fable</t>
        </is>
      </c>
      <c r="E9" s="3" t="inlineStr">
        <is>
          <t>C</t>
        </is>
      </c>
      <c r="F9" s="3" t="inlineStr">
        <is>
          <t>трекер расходов</t>
        </is>
      </c>
      <c r="G9" s="3" t="inlineStr">
        <is>
          <t>3/3</t>
        </is>
      </c>
      <c r="H9" s="3" t="n">
        <v>28.14</v>
      </c>
      <c r="I9" s="3" t="n">
        <v>63</v>
      </c>
      <c r="J9" s="3" t="n">
        <v>0.82</v>
      </c>
      <c r="K9" s="3">
        <f>ROUND(H9/J9,1)</f>
        <v/>
      </c>
      <c r="L9" s="3" t="inlineStr">
        <is>
          <t>делег. 48%</t>
        </is>
      </c>
      <c r="M9" s="3" t="inlineStr"/>
      <c r="N9" s="3" t="inlineStr"/>
    </row>
    <row r="10">
      <c r="A10" s="3" t="inlineStr">
        <is>
          <t>H1</t>
        </is>
      </c>
      <c r="B10" s="3" t="inlineStr">
        <is>
          <t>07-21</t>
        </is>
      </c>
      <c r="C10" s="3" t="inlineStr">
        <is>
          <t>kit dde0a3e (exam_hybrid_kit template)</t>
        </is>
      </c>
      <c r="D10" s="3" t="inlineStr">
        <is>
          <t>fable</t>
        </is>
      </c>
      <c r="E10" s="3" t="inlineStr">
        <is>
          <t>H</t>
        </is>
      </c>
      <c r="F10" s="3" t="inlineStr">
        <is>
          <t>ta (трекер set2)</t>
        </is>
      </c>
      <c r="G10" s="3" t="inlineStr">
        <is>
          <t>да</t>
        </is>
      </c>
      <c r="H10" s="3" t="n">
        <v>40.0799</v>
      </c>
      <c r="I10" s="3" t="n">
        <v>117</v>
      </c>
      <c r="J10" s="3" t="n">
        <v>1</v>
      </c>
      <c r="K10" s="3">
        <f>ROUND(H10/J10,1)</f>
        <v/>
      </c>
      <c r="L10" s="3" t="inlineStr">
        <is>
          <t>side 43.6%</t>
        </is>
      </c>
      <c r="M10" s="3" t="inlineStr">
        <is>
          <t>н-д</t>
        </is>
      </c>
      <c r="N10" s="3" t="inlineStr">
        <is>
          <t>батарея 25/25, чек-лист 12/12, 100 pytest, D/E полные; 0 реджектов судьи, 0 эскалаций (форензика t-251)</t>
        </is>
      </c>
    </row>
    <row r="11">
      <c r="A11" s="3" t="inlineStr">
        <is>
          <t>H1</t>
        </is>
      </c>
      <c r="B11" s="3" t="inlineStr">
        <is>
          <t>07-21</t>
        </is>
      </c>
      <c r="C11" s="3" t="inlineStr">
        <is>
          <t>kit dde0a3e (exam_hybrid_kit template)</t>
        </is>
      </c>
      <c r="D11" s="3" t="inlineStr">
        <is>
          <t>fable</t>
        </is>
      </c>
      <c r="E11" s="3" t="inlineStr">
        <is>
          <t>H</t>
        </is>
      </c>
      <c r="F11" s="3" t="inlineStr">
        <is>
          <t>tb (календарь, НОВАЯ)</t>
        </is>
      </c>
      <c r="G11" s="3" t="inlineStr">
        <is>
          <t>да</t>
        </is>
      </c>
      <c r="H11" s="3" t="n">
        <v>3.408</v>
      </c>
      <c r="I11" s="3" t="n">
        <v>6.6</v>
      </c>
      <c r="J11" s="3" t="n">
        <v>1</v>
      </c>
      <c r="K11" s="3">
        <f>ROUND(H11/J11,1)</f>
        <v/>
      </c>
      <c r="L11" s="3" t="inlineStr">
        <is>
          <t>side 26.4%</t>
        </is>
      </c>
      <c r="M11" s="3" t="inlineStr">
        <is>
          <t>н-д</t>
        </is>
      </c>
      <c r="N11" s="3" t="inlineStr">
        <is>
          <t>ключи 5/5; развилка сетка-vs-планировщик СПРОШЕНА у прокси (плюс D-0077)</t>
        </is>
      </c>
    </row>
    <row r="12">
      <c r="A12" s="3" t="inlineStr">
        <is>
          <t>H1</t>
        </is>
      </c>
      <c r="B12" s="3" t="inlineStr">
        <is>
          <t>07-21</t>
        </is>
      </c>
      <c r="C12" s="3" t="inlineStr">
        <is>
          <t>kit dde0a3e (exam_hybrid_kit template)</t>
        </is>
      </c>
      <c r="D12" s="3" t="inlineStr">
        <is>
          <t>fable</t>
        </is>
      </c>
      <c r="E12" s="3" t="inlineStr">
        <is>
          <t>H</t>
        </is>
      </c>
      <c r="F12" s="3" t="inlineStr">
        <is>
          <t>судья</t>
        </is>
      </c>
      <c r="G12" s="3" t="n"/>
      <c r="H12" s="3" t="n">
        <v>0.7</v>
      </c>
      <c r="I12" s="3" t="n"/>
      <c r="J12" s="3" t="n"/>
      <c r="K12" s="3" t="n"/>
      <c r="L12" s="3" t="n"/>
      <c r="M12" s="3" t="n"/>
      <c r="N12" s="3" t="inlineStr">
        <is>
          <t>8 судов (requests.db), traffic_kind=judge; per-call header-учёт (D-0083)</t>
        </is>
      </c>
    </row>
    <row r="13">
      <c r="A13" s="3" t="inlineStr">
        <is>
          <t>H1</t>
        </is>
      </c>
      <c r="B13" s="3" t="n"/>
      <c r="C13" s="3" t="n"/>
      <c r="D13" s="3" t="inlineStr">
        <is>
          <t>fable</t>
        </is>
      </c>
      <c r="E13" s="3" t="inlineStr">
        <is>
          <t>H</t>
        </is>
      </c>
      <c r="F13" s="3" t="inlineStr">
        <is>
          <t>ИТОГ ПЛЕЧА</t>
        </is>
      </c>
      <c r="G13" s="3" t="inlineStr">
        <is>
          <t>2/2</t>
        </is>
      </c>
      <c r="H13" s="3">
        <f>SUM(H10:H12)</f>
        <v/>
      </c>
      <c r="I13" s="3">
        <f>SUM(I10:I12)</f>
        <v/>
      </c>
      <c r="J13" s="3">
        <f>ROUND(AVERAGE(J10:J12),2)</f>
        <v/>
      </c>
      <c r="K13" s="3">
        <f>IF(OR(J13="",J13=0),"н-д",ROUND(SUM(H10:H12)/J13,1))</f>
        <v/>
      </c>
      <c r="L13" s="3" t="n"/>
      <c r="M13" s="3" t="n"/>
      <c r="N13" s="3" t="inlineStr">
        <is>
          <t>сводный = среднее задачных; вал с судьёй $44.19, $22.09/принятую (2/2 принято) — Runs log 07-21 (PROCESS/DEPLOYMENT_ECONOMY_EXAM.md); side 43.6%(ta)/26.4%(tb); ОДИНОЧНЫЙ ПРОГОН; кит exam_hybrid_kit@dde0a3e; пин docs/tasks/2026-07-21_hybrid-exam-set2H-pin.md</t>
        </is>
      </c>
    </row>
    <row r="14">
      <c r="A14" s="3" t="inlineStr">
        <is>
          <t>H1</t>
        </is>
      </c>
      <c r="B14" s="3" t="inlineStr">
        <is>
          <t>07-21</t>
        </is>
      </c>
      <c r="C14" s="3" t="inlineStr">
        <is>
          <t>C-плечо: канонический промпт-префикс, без судьи и журнала</t>
        </is>
      </c>
      <c r="D14" s="3" t="inlineStr">
        <is>
          <t>fable</t>
        </is>
      </c>
      <c r="E14" s="3" t="inlineStr">
        <is>
          <t>C</t>
        </is>
      </c>
      <c r="F14" s="3" t="inlineStr">
        <is>
          <t>ta (трекер set2)</t>
        </is>
      </c>
      <c r="G14" s="3" t="inlineStr">
        <is>
          <t>да</t>
        </is>
      </c>
      <c r="H14" s="3" t="n">
        <v>18.2838</v>
      </c>
      <c r="I14" s="3" t="n">
        <v>51</v>
      </c>
      <c r="J14" s="3" t="n">
        <v>0.63</v>
      </c>
      <c r="K14" s="3">
        <f>ROUND(H14/J14,1)</f>
        <v/>
      </c>
      <c r="L14" s="3" t="inlineStr">
        <is>
          <t>side 57.5%</t>
        </is>
      </c>
      <c r="M14" s="3" t="inlineStr">
        <is>
          <t>[спор]-дубль: при вердикте оператора «дубль один раз» скаляр 0.60; чек-лист 10.5/12; C-ось 0 — тестов нет</t>
        </is>
      </c>
      <c r="N14" s="3" t="inlineStr">
        <is>
          <t>батарея 23/25; AO3-нагрузка 290 ходов в окне (внешний простой отмечен, не вычтен)</t>
        </is>
      </c>
    </row>
    <row r="15">
      <c r="A15" s="3" t="inlineStr">
        <is>
          <t>H1</t>
        </is>
      </c>
      <c r="B15" s="3" t="inlineStr">
        <is>
          <t>07-21</t>
        </is>
      </c>
      <c r="C15" s="3" t="inlineStr">
        <is>
          <t>C-плечо</t>
        </is>
      </c>
      <c r="D15" s="3" t="inlineStr">
        <is>
          <t>fable</t>
        </is>
      </c>
      <c r="E15" s="3" t="inlineStr">
        <is>
          <t>C</t>
        </is>
      </c>
      <c r="F15" s="3" t="inlineStr">
        <is>
          <t>tb (календарь, НОВАЯ)</t>
        </is>
      </c>
      <c r="G15" s="3" t="inlineStr">
        <is>
          <t>НЕТ</t>
        </is>
      </c>
      <c r="H15" s="3" t="n">
        <v>3.0378</v>
      </c>
      <c r="I15" s="3" t="n"/>
      <c r="J15" s="3" t="n">
        <v>0</v>
      </c>
      <c r="K15" s="3">
        <f>IF(J15=0,"н-д (0)",ROUND(H15/J15,1))</f>
        <v/>
      </c>
      <c r="L15" s="3" t="n"/>
      <c r="M15" s="3" t="inlineStr">
        <is>
          <t>НЕ СДАН: клетка 0 файлов, stdout пуст (испарение evidence безжурнальной конструкции — 3-й случай за день)</t>
        </is>
      </c>
      <c r="N15" s="3" t="inlineStr">
        <is>
          <t>скаляр 0</t>
        </is>
      </c>
    </row>
    <row r="16">
      <c r="A16" s="3" t="inlineStr">
        <is>
          <t>H1</t>
        </is>
      </c>
      <c r="B16" s="3" t="n"/>
      <c r="C16" s="3" t="n"/>
      <c r="D16" s="3" t="inlineStr">
        <is>
          <t>fable</t>
        </is>
      </c>
      <c r="E16" s="3" t="inlineStr">
        <is>
          <t>C</t>
        </is>
      </c>
      <c r="F16" s="3" t="inlineStr">
        <is>
          <t>ИТОГ ПЛЕЧА</t>
        </is>
      </c>
      <c r="G16" s="3" t="inlineStr">
        <is>
          <t>1/2</t>
        </is>
      </c>
      <c r="H16" s="3">
        <f>SUM(H14:H15)</f>
        <v/>
      </c>
      <c r="I16" s="3">
        <f>SUM(I14:I15)</f>
        <v/>
      </c>
      <c r="J16" s="3">
        <f>ROUND(AVERAGE(J14:J15),3)</f>
        <v/>
      </c>
      <c r="K16" s="3">
        <f>IF(OR(J16="",J16=0),"н-д",ROUND(SUM(H14:H15)/J16,1))</f>
        <v/>
      </c>
      <c r="L16" s="3" t="n"/>
      <c r="M16" s="3" t="n"/>
      <c r="N16" s="3" t="inlineStr">
        <is>
          <t>сводный = среднее задачных (с нулём tb); вал $21.32, $21.32/принятую (1/2 принято) — Runs log 07-21; ОДИНОЧНЫЙ ПРОГОН. КЛЮЧИ ПИНА (docs/tasks/2026-07-21_hybrid-exam-set2H-pin.md): (h-б) качество ВЗЯТ H решительно (1.0 vs 0.63, «не торгуется» сработало в пользу H); (h-а) деньги и (h-в) время ПРОВАЛЕНЫ по букве (H &gt; C); $/принятую с учётом потери C-tb — паритет (H $22.09 vs C $21.32)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2026-07-18T19:10:56Z</dcterms:created>
  <dcterms:modified xmlns:dcterms="http://purl.org/dc/terms/" xmlns:xsi="http://www.w3.org/2001/XMLSchema-instance" xsi:type="dcterms:W3CDTF">2026-07-30T12:04:46Z</dcterms:modified>
</cp:coreProperties>
</file>