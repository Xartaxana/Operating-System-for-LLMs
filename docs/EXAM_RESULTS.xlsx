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  <row r="56">
      <c r="A56" t="inlineStr">
        <is>
          <t>№15</t>
        </is>
      </c>
      <c r="B56" t="inlineStr">
        <is>
          <t>07-19</t>
        </is>
      </c>
      <c r="C56" t="inlineStr">
        <is>
          <t>exp-15-kernel @ 8333adf (= main e1ccd50 = штаб f5b27d5; ЯДРО-КАНДИДАТ EN 20379 Б vs 35776)</t>
        </is>
      </c>
      <c r="D56" t="inlineStr">
        <is>
          <t>sonnet</t>
        </is>
      </c>
      <c r="E56" t="inlineStr">
        <is>
          <t>Bkn1</t>
        </is>
      </c>
      <c r="F56" t="inlineStr">
        <is>
          <t>t1</t>
        </is>
      </c>
      <c r="G56" t="inlineStr">
        <is>
          <t>да</t>
        </is>
      </c>
      <c r="H56" t="n">
        <v>3.87</v>
      </c>
      <c r="I56" t="n">
        <v>16.9</v>
      </c>
      <c r="J56" t="n">
        <v>0.96</v>
      </c>
      <c r="K56">
        <f>IF(J56=0,"н-д (0)",ROUND(H56/J56,1))</f>
        <v/>
      </c>
      <c r="L56" t="inlineStr">
        <is>
          <t>main:sonnet=28; side: sonnet=25 opus=8 haiku=3 fable=2 (6 аг.)</t>
        </is>
      </c>
      <c r="M56" t="inlineStr">
        <is>
          <t>kill 7/7 вкл. оба M6; арабские цифры молча приняты — ПОВТОР класса №13-Bfg4-t1 (не ядро-специфично), без теста; 0 дефектов журнала</t>
        </is>
      </c>
      <c r="N56" t="inlineStr">
        <is>
          <t>28 тестов; критик поймал протечку RecursionError на цепочке унарных минусов; A=0.85 за арабский пробел</t>
        </is>
      </c>
    </row>
    <row r="57">
      <c r="A57" t="inlineStr">
        <is>
          <t>№15</t>
        </is>
      </c>
      <c r="B57" t="inlineStr">
        <is>
          <t>07-19</t>
        </is>
      </c>
      <c r="C57" t="inlineStr">
        <is>
          <t>exp-15-kernel</t>
        </is>
      </c>
      <c r="D57" t="inlineStr">
        <is>
          <t>sonnet</t>
        </is>
      </c>
      <c r="E57" t="inlineStr">
        <is>
          <t>Bkn1</t>
        </is>
      </c>
      <c r="F57" t="inlineStr">
        <is>
          <t>t2</t>
        </is>
      </c>
      <c r="G57" t="inlineStr">
        <is>
          <t>да</t>
        </is>
      </c>
      <c r="H57" t="n">
        <v>3.6</v>
      </c>
      <c r="I57" t="n">
        <v>17.2</v>
      </c>
      <c r="J57" t="n">
        <v>0.93</v>
      </c>
      <c r="K57">
        <f>IF(J57=0,"н-д (0)",ROUND(H57/J57,1))</f>
        <v/>
      </c>
      <c r="L57" t="inlineStr">
        <is>
          <t>main:sonnet=20; side: haiku=28 fable=6 opus=4 sonnet=2 (3 аг.)</t>
        </is>
      </c>
      <c r="M57" t="inlineStr">
        <is>
          <t>3 строки журнала без category (validator); 17/17 file:line ТОЧНЫ — первый план серии без единой неточности</t>
        </is>
      </c>
      <c r="N57" t="inlineStr">
        <is>
          <t>критик-на-план исполнен; stall 74s внешней нагрузки; C-ось н-п</t>
        </is>
      </c>
    </row>
    <row r="58">
      <c r="A58" t="inlineStr">
        <is>
          <t>№15</t>
        </is>
      </c>
      <c r="B58" t="inlineStr">
        <is>
          <t>07-19</t>
        </is>
      </c>
      <c r="C58" t="inlineStr">
        <is>
          <t>exp-15-kernel</t>
        </is>
      </c>
      <c r="D58" t="inlineStr">
        <is>
          <t>sonnet</t>
        </is>
      </c>
      <c r="E58" t="inlineStr">
        <is>
          <t>Bkn1</t>
        </is>
      </c>
      <c r="F58" t="inlineStr">
        <is>
          <t>t3</t>
        </is>
      </c>
      <c r="G58" t="inlineStr">
        <is>
          <t>да</t>
        </is>
      </c>
      <c r="H58" t="n">
        <v>2.66</v>
      </c>
      <c r="I58" t="n">
        <v>13.5</v>
      </c>
      <c r="J58" t="n">
        <v>0.9399999999999999</v>
      </c>
      <c r="K58">
        <f>IF(J58=0,"н-д (0)",ROUND(H58/J58,1))</f>
        <v/>
      </c>
      <c r="L58" t="inlineStr">
        <is>
          <t>main:sonnet=24; side: haiku=18 sonnet=12 opus=7 (4 аг.)</t>
        </is>
      </c>
      <c r="M58" t="inlineStr">
        <is>
          <t>ПРОКСИ-ПОДМЕНА (F-37): журнал заявляет fable-прокси (t-002 model/by=fable), замер cc_usage — opus-4-8, fable-ходов 0; E срезана Lead 1.0-&gt;0.5 (скаляр грейдера 1.0-&gt;0.94); kill 7/7 вкл. M1</t>
        </is>
      </c>
      <c r="N58" t="inlineStr">
        <is>
          <t>класс «done по позиции» структурно закрыт (общий find_index_by_id); 13 тестов; матрица приёмки в существе чиста (opus-вход достаточен для builder)</t>
        </is>
      </c>
    </row>
    <row r="59">
      <c r="A59" t="inlineStr">
        <is>
          <t>№15</t>
        </is>
      </c>
      <c r="D59" t="inlineStr">
        <is>
          <t>sonnet</t>
        </is>
      </c>
      <c r="E59" t="inlineStr">
        <is>
          <t>Bkn1</t>
        </is>
      </c>
      <c r="F59" t="inlineStr">
        <is>
          <t>ИТОГ ПЛЕЧА</t>
        </is>
      </c>
      <c r="H59">
        <f>SUM(H56:H58)</f>
        <v/>
      </c>
      <c r="I59">
        <f>SUM(I56:I58)</f>
        <v/>
      </c>
      <c r="J59">
        <f>ROUND(AVERAGE(J56:J58),2)</f>
        <v/>
      </c>
      <c r="K59">
        <f>IF(OR(J59="",J59=0),"н-д",ROUND(SUM(H56:H58)/J59,1))</f>
        <v/>
      </c>
      <c r="N59" t="inlineStr">
        <is>
          <t>сводный = среднее задачных; Runs log: 0.94; t3 скорректирована Lead при приёмке (прокси-подмена); k2 журналы: 0/3/0 дефектов vs база №14 5</t>
        </is>
      </c>
    </row>
    <row r="60">
      <c r="A60" t="inlineStr">
        <is>
          <t>№16</t>
        </is>
      </c>
      <c r="B60" t="inlineStr">
        <is>
          <t>07-19</t>
        </is>
      </c>
      <c r="C60" t="inlineStr">
        <is>
          <t>exp-16-kernel @ 0526ca6 (= main 2cbc84d = штаб 1a11b80; ЯДРО v2 + tier_echo в клетках)</t>
        </is>
      </c>
      <c r="D60" t="inlineStr">
        <is>
          <t>sonnet</t>
        </is>
      </c>
      <c r="E60" t="inlineStr">
        <is>
          <t>Bkn2</t>
        </is>
      </c>
      <c r="F60" t="inlineStr">
        <is>
          <t>t1</t>
        </is>
      </c>
      <c r="G60" t="inlineStr">
        <is>
          <t>да</t>
        </is>
      </c>
      <c r="H60" t="n">
        <v>5.07</v>
      </c>
      <c r="I60" t="n">
        <v>20.7</v>
      </c>
      <c r="J60" t="n">
        <v>0.91</v>
      </c>
      <c r="K60">
        <f>IF(J60=0,"н-д (0)",ROUND(H60/J60,1))</f>
        <v/>
      </c>
      <c r="L60" t="inlineStr">
        <is>
          <t>main:sonnet=31; side: sonnet=27 opus=17 fable=2 (5 аг.)</t>
        </is>
      </c>
      <c r="M60" t="inlineStr">
        <is>
          <t>kill 8/8 вкл. 3 граничных; юникод-дыра закрыта СТРУКТУРНО (٢+٢ -&gt; Error, против молчаливого 4 у N15); журнал 8 дефектов validator — худший t1 серии</t>
        </is>
      </c>
      <c r="N60" t="inlineStr">
        <is>
          <t>50 тестов; содержание чистое (A/B/C = 1.0), скаляр съеден формой журнала</t>
        </is>
      </c>
    </row>
    <row r="61">
      <c r="A61" t="inlineStr">
        <is>
          <t>№16</t>
        </is>
      </c>
      <c r="B61" t="inlineStr">
        <is>
          <t>07-19</t>
        </is>
      </c>
      <c r="C61" t="inlineStr">
        <is>
          <t>exp-16-kernel</t>
        </is>
      </c>
      <c r="D61" t="inlineStr">
        <is>
          <t>sonnet</t>
        </is>
      </c>
      <c r="E61" t="inlineStr">
        <is>
          <t>Bkn2</t>
        </is>
      </c>
      <c r="F61" t="inlineStr">
        <is>
          <t>t2</t>
        </is>
      </c>
      <c r="G61" t="inlineStr">
        <is>
          <t>да</t>
        </is>
      </c>
      <c r="H61" t="n">
        <v>3.83</v>
      </c>
      <c r="I61" t="n">
        <v>16.8</v>
      </c>
      <c r="J61" t="n">
        <v>0.82</v>
      </c>
      <c r="K61">
        <f>IF(J61=0,"н-д (0)",ROUND(H61/J61,1))</f>
        <v/>
      </c>
      <c r="L61" t="inlineStr">
        <is>
          <t>main:sonnet=38; side: haiku=37 opus=5 fable=4 (3 аг.)</t>
        </is>
      </c>
      <c r="M61" t="inlineStr">
        <is>
          <t>план НЕ персистирован файлом (только stdout, D=0.3); 1 самосертификация k3 (accepted critic-работы by=sonnet без basis-поля, queued-to-lead только прозой); 3 дефекта журнала</t>
        </is>
      </c>
      <c r="N61" t="inlineStr">
        <is>
          <t>18/18 file:line точны (100%); критик-на-план исполнен; C-ось н-п</t>
        </is>
      </c>
    </row>
    <row r="62">
      <c r="A62" t="inlineStr">
        <is>
          <t>№16</t>
        </is>
      </c>
      <c r="B62" t="inlineStr">
        <is>
          <t>07-19</t>
        </is>
      </c>
      <c r="C62" t="inlineStr">
        <is>
          <t>exp-16-kernel</t>
        </is>
      </c>
      <c r="D62" t="inlineStr">
        <is>
          <t>sonnet</t>
        </is>
      </c>
      <c r="E62" t="inlineStr">
        <is>
          <t>Bkn2</t>
        </is>
      </c>
      <c r="F62" t="inlineStr">
        <is>
          <t>t3</t>
        </is>
      </c>
      <c r="G62" t="inlineStr">
        <is>
          <t>да</t>
        </is>
      </c>
      <c r="H62" t="n">
        <v>3.58</v>
      </c>
      <c r="I62" t="n">
        <v>14.8</v>
      </c>
      <c r="J62" t="n">
        <v>0.96</v>
      </c>
      <c r="K62">
        <f>IF(J62=0,"н-д (0)",ROUND(H62/J62,1))</f>
        <v/>
      </c>
      <c r="L62" t="inlineStr">
        <is>
          <t>main:sonnet=34; side: haiku=8 sonnet=8 opus=3 fable=1 (4 аг.)</t>
        </is>
      </c>
      <c r="M62" t="inlineStr">
        <is>
          <t>kill 6/7 вкл. M1 (тестом, не архитектурой); M6 граница id-позитивности SURVIVED — реальная находка; 0 дефектов журнала</t>
        </is>
      </c>
      <c r="N62" t="inlineStr">
        <is>
          <t>18 тестов; прокси честный (fable=1 замером)</t>
        </is>
      </c>
    </row>
    <row r="63">
      <c r="A63" t="inlineStr">
        <is>
          <t>№16</t>
        </is>
      </c>
      <c r="D63" t="inlineStr">
        <is>
          <t>sonnet</t>
        </is>
      </c>
      <c r="E63" t="inlineStr">
        <is>
          <t>Bkn2</t>
        </is>
      </c>
      <c r="F63" t="inlineStr">
        <is>
          <t>ИТОГ ПЛЕЧА</t>
        </is>
      </c>
      <c r="H63">
        <f>SUM(H60:H62)</f>
        <v/>
      </c>
      <c r="I63">
        <f>SUM(I60:I62)</f>
        <v/>
      </c>
      <c r="J63">
        <f>ROUND(AVERAGE(J60:J62),2)</f>
        <v/>
      </c>
      <c r="K63">
        <f>IF(OR(J63="",J63=0),"н-д",ROUND(SUM(H60:H62)/J63,1))</f>
        <v/>
      </c>
      <c r="N63" t="inlineStr">
        <is>
          <t>сводный = среднее задачных; Runs log: 0.90; k2 журналы 8/3/0=11 (хуже N15=3); k6(б): подмен прокси НЕТ (11/11 честны, fable-ходы во всех клетках); k6(а): 0 TIER ECHO — канал stderr@exit0 невидим, сменён на hookSpecificOutput (872b5e6); ПЛАНКА 0.93 НЕ ВЗЯТА (0.90) — N3-срез стоит, доклад оператору</t>
        </is>
      </c>
    </row>
    <row r="64">
      <c r="A64" t="inlineStr">
        <is>
          <t>№17</t>
        </is>
      </c>
      <c r="B64" t="inlineStr">
        <is>
          <t>07-19</t>
        </is>
      </c>
      <c r="C64" t="inlineStr">
        <is>
          <t>exp-17-kernel @ b30337b (= main 020138a = штаб 5c8534f; ЯДРО v3: таблица форм + journal_echo на записи)</t>
        </is>
      </c>
      <c r="D64" t="inlineStr">
        <is>
          <t>sonnet</t>
        </is>
      </c>
      <c r="E64" t="inlineStr">
        <is>
          <t>Bkn3</t>
        </is>
      </c>
      <c r="F64" t="inlineStr">
        <is>
          <t>t1</t>
        </is>
      </c>
      <c r="G64" t="inlineStr">
        <is>
          <t>да</t>
        </is>
      </c>
      <c r="H64" t="n">
        <v>3.32</v>
      </c>
      <c r="I64" t="n">
        <v>13.6</v>
      </c>
      <c r="J64" t="n">
        <v>0.93</v>
      </c>
      <c r="K64">
        <f>IF(J64=0,"н-д (0)",ROUND(H64/J64,1))</f>
        <v/>
      </c>
      <c r="L64" t="inlineStr">
        <is>
          <t>main:sonnet=16; side: opus=12 sonnet=8 fable=2 (3 аг.)</t>
        </is>
      </c>
      <c r="M64" t="inlineStr">
        <is>
          <t>мутации: M3 безвредна + M7 РЕАЛЬНЫЙ пробел выжили; 0 дефектов журнала</t>
        </is>
      </c>
      <c r="N64" t="inlineStr">
        <is>
          <t>43 теста; k2-класс убит (журнал чист)</t>
        </is>
      </c>
    </row>
    <row r="65">
      <c r="A65" t="inlineStr">
        <is>
          <t>№17</t>
        </is>
      </c>
      <c r="B65" t="inlineStr">
        <is>
          <t>07-19</t>
        </is>
      </c>
      <c r="C65" t="inlineStr">
        <is>
          <t>exp-17-kernel</t>
        </is>
      </c>
      <c r="D65" t="inlineStr">
        <is>
          <t>sonnet</t>
        </is>
      </c>
      <c r="E65" t="inlineStr">
        <is>
          <t>Bkn3</t>
        </is>
      </c>
      <c r="F65" t="inlineStr">
        <is>
          <t>t2</t>
        </is>
      </c>
      <c r="G65" t="inlineStr">
        <is>
          <t>да</t>
        </is>
      </c>
      <c r="H65" t="n">
        <v>4.43</v>
      </c>
      <c r="I65" t="n">
        <v>18.9</v>
      </c>
      <c r="J65" t="n">
        <v>0.85</v>
      </c>
      <c r="K65">
        <f>IF(J65=0,"н-д (0)",ROUND(H65/J65,1))</f>
        <v/>
      </c>
      <c r="L65" t="inlineStr">
        <is>
          <t>main:sonnet=24; side: haiku=25 opus=10 fable=9 sonnet=2 (3 аг.)</t>
        </is>
      </c>
      <c r="M65" t="inlineStr">
        <is>
          <t>ЧАСТИЧНАЯ ПОДМЕНА (D-0083-класс, 2-й экземпляр): воркер-fable биллится sonnet в 2/11 закрывающих ходов (agent a39f86b..., сверено Lead срезом cc_usage: 9 fable + 2 sonnet); нет rejected-события на критик-отказ (правило 6); 0 дефектов формы журнала</t>
        </is>
      </c>
      <c r="N65" t="inlineStr">
        <is>
          <t>13 file:line сверок точны; stall 102s внешней нагрузки; C-ось н-п</t>
        </is>
      </c>
    </row>
    <row r="66">
      <c r="A66" t="inlineStr">
        <is>
          <t>№17</t>
        </is>
      </c>
      <c r="B66" t="inlineStr">
        <is>
          <t>07-19</t>
        </is>
      </c>
      <c r="C66" t="inlineStr">
        <is>
          <t>exp-17-kernel</t>
        </is>
      </c>
      <c r="D66" t="inlineStr">
        <is>
          <t>sonnet</t>
        </is>
      </c>
      <c r="E66" t="inlineStr">
        <is>
          <t>Bkn3</t>
        </is>
      </c>
      <c r="F66" t="inlineStr">
        <is>
          <t>t3</t>
        </is>
      </c>
      <c r="G66" t="inlineStr">
        <is>
          <t>да</t>
        </is>
      </c>
      <c r="H66" t="n">
        <v>3.91</v>
      </c>
      <c r="I66" t="n">
        <v>17.1</v>
      </c>
      <c r="J66" t="n">
        <v>0.98</v>
      </c>
      <c r="K66">
        <f>IF(J66=0,"н-д (0)",ROUND(H66/J66,1))</f>
        <v/>
      </c>
      <c r="L66" t="inlineStr">
        <is>
          <t>main:sonnet=27; side: sonnet=29 opus=3 fable=2 (3 аг.)</t>
        </is>
      </c>
      <c r="M66" t="inlineStr">
        <is>
          <t>kill вкл. M1; 0 дефектов журнала; worker_ref t3 символьные (не сверяемы буквально с БД) — пометка</t>
        </is>
      </c>
      <c r="N66" t="inlineStr">
        <is>
          <t>28 тестов; лучшая клетка прогона</t>
        </is>
      </c>
    </row>
    <row r="67">
      <c r="A67" t="inlineStr">
        <is>
          <t>№17</t>
        </is>
      </c>
      <c r="D67" t="inlineStr">
        <is>
          <t>sonnet</t>
        </is>
      </c>
      <c r="E67" t="inlineStr">
        <is>
          <t>Bkn3</t>
        </is>
      </c>
      <c r="F67" t="inlineStr">
        <is>
          <t>ИТОГ ПЛЕЧА</t>
        </is>
      </c>
      <c r="H67">
        <f>SUM(H64:H66)</f>
        <v/>
      </c>
      <c r="I67">
        <f>SUM(I64:I66)</f>
        <v/>
      </c>
      <c r="J67">
        <f>ROUND(AVERAGE(J64:J66),2)</f>
        <v/>
      </c>
      <c r="K67">
        <f>IF(OR(J67="",J67=0),"н-д",ROUND(SUM(H64:H66)/J67,1))</f>
        <v/>
      </c>
      <c r="N67" t="inlineStr">
        <is>
          <t>сводный = среднее задачных; Runs log: 0.92; k2 = 0/0/0 (ожидание предрегистрации ВЫПОЛНЕНО, было 11 у N16); k3 0/7; JOURNAL ECHO 0 хитов при 0 дефектах = консистентное молчание; МЕДИАНА ТРЁХ ТОЧЕК ЯДРА 0.94/0.90/0.92 = 0.92 &lt; планки 0.93 — N3 доклад оператору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2026-07-19T19:33:55Z</dcterms:modified>
</cp:coreProperties>
</file>