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Малые (набор №1)" sheetId="1" state="visible" r:id="rId1"/>
    <sheet xmlns:r="http://schemas.openxmlformats.org/officeDocument/2006/relationships" name="Большие (набор №2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</font>
    <font>
      <name val="Arial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5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7" customWidth="1" min="2" max="2"/>
    <col width="18" customWidth="1" min="3" max="3"/>
    <col width="11" customWidth="1" min="4" max="4"/>
    <col width="8" customWidth="1" min="5" max="5"/>
    <col width="15" customWidth="1" min="6" max="6"/>
    <col width="9" customWidth="1" min="7" max="7"/>
    <col width="9" customWidth="1" min="8" max="8"/>
    <col width="9" customWidth="1" min="9" max="9"/>
    <col width="10" customWidth="1" min="10" max="10"/>
    <col width="10" customWidth="1" min="11" max="11"/>
    <col width="42" customWidth="1" min="12" max="12"/>
    <col width="46" customWidth="1" min="13" max="13"/>
    <col width="34" customWidth="1" min="14" max="14"/>
  </cols>
  <sheetData>
    <row r="1">
      <c r="A1" s="1" t="inlineStr">
        <is>
          <t>РЕЕСТР ЭКЗАМЕНОВ ЭКОНОМИИ — МАЛЫЕ (набор №1). Живой файл: разбор каждого прогона добавляет строки (норма — PROCESS/DEPLOYMENT_ECONOMY_EXAM.md). Источники: Runs log протокола, grading-логи и run_log.json полигонов, tier_path-срезы транскриптов.</t>
        </is>
      </c>
    </row>
    <row r="2">
      <c r="A2" t="inlineStr">
        <is>
          <t>Легенда: скаляр 6б — уровень ПЛЕЧА (повторён в строках его задач); F = вал плеча / скаляр (формула, итоговые строки); время — wall клетки из run_log (агрегаты: мин/задачу или окно/3 — см. примечания); «н-д» — данных в источниках нет; строки-агрегаты — прогоны до появления per-task учёта.</t>
        </is>
      </c>
    </row>
    <row r="4">
      <c r="A4" s="2" t="inlineStr">
        <is>
          <t>Прогон</t>
        </is>
      </c>
      <c r="B4" s="2" t="inlineStr">
        <is>
          <t>Дата</t>
        </is>
      </c>
      <c r="C4" s="2" t="inlineStr">
        <is>
          <t>Кит/штаб</t>
        </is>
      </c>
      <c r="D4" s="2" t="inlineStr">
        <is>
          <t>Координатор</t>
        </is>
      </c>
      <c r="E4" s="2" t="inlineStr">
        <is>
          <t>Плечо</t>
        </is>
      </c>
      <c r="F4" s="2" t="inlineStr">
        <is>
          <t>Задача</t>
        </is>
      </c>
      <c r="G4" s="2" t="inlineStr">
        <is>
          <t>Принята</t>
        </is>
      </c>
      <c r="H4" s="2" t="inlineStr">
        <is>
          <t>Цена $</t>
        </is>
      </c>
      <c r="I4" s="2" t="inlineStr">
        <is>
          <t>Время клетки, мин</t>
        </is>
      </c>
      <c r="J4" s="2" t="inlineStr">
        <is>
          <t>Скаляр 6б (плечо)</t>
        </is>
      </c>
      <c r="K4" s="2" t="inlineStr">
        <is>
          <t>F ($/взвеш.точку)</t>
        </is>
      </c>
      <c r="L4" s="2" t="inlineStr">
        <is>
          <t>Путь по ярусам (ходы)</t>
        </is>
      </c>
      <c r="M4" s="2" t="inlineStr">
        <is>
          <t>Пропущенные баги/дефекты</t>
        </is>
      </c>
      <c r="N4" s="2" t="inlineStr">
        <is>
          <t>Примечания</t>
        </is>
      </c>
    </row>
    <row r="5">
      <c r="A5" s="3" t="inlineStr">
        <is>
          <t>№1</t>
        </is>
      </c>
      <c r="B5" s="3" t="inlineStr">
        <is>
          <t>07-14</t>
        </is>
      </c>
      <c r="C5" s="3" t="inlineStr">
        <is>
          <t>v0.1.0</t>
        </is>
      </c>
      <c r="D5" s="3" t="inlineStr">
        <is>
          <t>fable</t>
        </is>
      </c>
      <c r="E5" s="3" t="inlineStr">
        <is>
          <t>A</t>
        </is>
      </c>
      <c r="F5" s="3" t="inlineStr">
        <is>
          <t>агрегат 3 задач</t>
        </is>
      </c>
      <c r="G5" s="3" t="inlineStr">
        <is>
          <t>3/3</t>
        </is>
      </c>
      <c r="H5" s="3" t="n">
        <v>2.88</v>
      </c>
      <c r="I5" s="3" t="n">
        <v>6.8</v>
      </c>
      <c r="J5" s="3" t="inlineStr">
        <is>
          <t>н-д</t>
        </is>
      </c>
      <c r="K5" s="3" t="inlineStr">
        <is>
          <t>н-д</t>
        </is>
      </c>
      <c r="L5" s="3" t="inlineStr">
        <is>
          <t>main fable; делег. 0%</t>
        </is>
      </c>
      <c r="M5" s="3" t="inlineStr">
        <is>
          <t>н-д (рубрика 6а ретро)</t>
        </is>
      </c>
      <c r="N5" s="3" t="inlineStr">
        <is>
          <t>цены v3 после F-42/43; время=мин/задачу</t>
        </is>
      </c>
    </row>
    <row r="6">
      <c r="A6" s="3" t="inlineStr">
        <is>
          <t>№1</t>
        </is>
      </c>
      <c r="B6" s="3" t="inlineStr">
        <is>
          <t>07-14</t>
        </is>
      </c>
      <c r="C6" s="3" t="inlineStr">
        <is>
          <t>v0.1.0</t>
        </is>
      </c>
      <c r="D6" s="3" t="inlineStr">
        <is>
          <t>fable</t>
        </is>
      </c>
      <c r="E6" s="3" t="inlineStr">
        <is>
          <t>B</t>
        </is>
      </c>
      <c r="F6" s="3" t="inlineStr">
        <is>
          <t>агрегат 3 задач</t>
        </is>
      </c>
      <c r="G6" s="3" t="inlineStr">
        <is>
          <t>3/3</t>
        </is>
      </c>
      <c r="H6" s="3" t="n">
        <v>7.79</v>
      </c>
      <c r="I6" s="3" t="n">
        <v>10.3</v>
      </c>
      <c r="J6" s="3" t="inlineStr">
        <is>
          <t>н-д</t>
        </is>
      </c>
      <c r="K6" s="3" t="inlineStr">
        <is>
          <t>н-д</t>
        </is>
      </c>
      <c r="L6" s="3" t="inlineStr">
        <is>
          <t>делег. 28%</t>
        </is>
      </c>
      <c r="M6" s="3" t="inlineStr">
        <is>
          <t>н-д</t>
        </is>
      </c>
      <c r="N6" s="3" t="inlineStr"/>
    </row>
    <row r="7">
      <c r="A7" s="3" t="inlineStr">
        <is>
          <t>№1</t>
        </is>
      </c>
      <c r="B7" s="3" t="inlineStr">
        <is>
          <t>07-14</t>
        </is>
      </c>
      <c r="C7" s="3" t="inlineStr">
        <is>
          <t>v0.1.0</t>
        </is>
      </c>
      <c r="D7" s="3" t="inlineStr">
        <is>
          <t>fable</t>
        </is>
      </c>
      <c r="E7" s="3" t="inlineStr">
        <is>
          <t>C</t>
        </is>
      </c>
      <c r="F7" s="3" t="inlineStr">
        <is>
          <t>агрегат 3 задач</t>
        </is>
      </c>
      <c r="G7" s="3" t="inlineStr">
        <is>
          <t>3/3</t>
        </is>
      </c>
      <c r="H7" s="3" t="n">
        <v>9.029999999999999</v>
      </c>
      <c r="I7" s="3" t="n">
        <v>13.3</v>
      </c>
      <c r="J7" s="3" t="inlineStr">
        <is>
          <t>н-д</t>
        </is>
      </c>
      <c r="K7" s="3" t="inlineStr">
        <is>
          <t>н-д</t>
        </is>
      </c>
      <c r="L7" s="3" t="inlineStr">
        <is>
          <t>Workflow-тул, 16 агентов; делег. 66%</t>
        </is>
      </c>
      <c r="M7" s="3" t="inlineStr">
        <is>
          <t>н-д</t>
        </is>
      </c>
      <c r="N7" s="3" t="inlineStr">
        <is>
          <t>C-T1 принят вердиктом оператора</t>
        </is>
      </c>
    </row>
    <row r="8">
      <c r="A8" s="3" t="inlineStr">
        <is>
          <t>№2</t>
        </is>
      </c>
      <c r="B8" s="3" t="inlineStr">
        <is>
          <t>07-14</t>
        </is>
      </c>
      <c r="C8" s="3" t="inlineStr">
        <is>
          <t>v0.2.0+дизайнер</t>
        </is>
      </c>
      <c r="D8" s="3" t="inlineStr">
        <is>
          <t>fable</t>
        </is>
      </c>
      <c r="E8" s="3" t="inlineStr">
        <is>
          <t>A</t>
        </is>
      </c>
      <c r="F8" s="3" t="inlineStr">
        <is>
          <t>агрегат 3 задач</t>
        </is>
      </c>
      <c r="G8" s="3" t="inlineStr">
        <is>
          <t>3/3</t>
        </is>
      </c>
      <c r="H8" s="3" t="n">
        <v>2.79</v>
      </c>
      <c r="I8" s="3" t="n">
        <v>2</v>
      </c>
      <c r="J8" s="3" t="inlineStr">
        <is>
          <t>н-д</t>
        </is>
      </c>
      <c r="K8" s="3" t="inlineStr">
        <is>
          <t>н-д</t>
        </is>
      </c>
      <c r="L8" s="3" t="inlineStr">
        <is>
          <t>делег. 0%</t>
        </is>
      </c>
      <c r="M8" s="3" t="inlineStr">
        <is>
          <t>н-д</t>
        </is>
      </c>
      <c r="N8" s="3" t="inlineStr">
        <is>
          <t>чистое время (правило атрибуции)</t>
        </is>
      </c>
    </row>
    <row r="9">
      <c r="A9" s="3" t="inlineStr">
        <is>
          <t>№2</t>
        </is>
      </c>
      <c r="B9" s="3" t="inlineStr">
        <is>
          <t>07-14</t>
        </is>
      </c>
      <c r="C9" s="3" t="inlineStr">
        <is>
          <t>v0.2.0+дизайнер</t>
        </is>
      </c>
      <c r="D9" s="3" t="inlineStr">
        <is>
          <t>fable</t>
        </is>
      </c>
      <c r="E9" s="3" t="inlineStr">
        <is>
          <t>B</t>
        </is>
      </c>
      <c r="F9" s="3" t="inlineStr">
        <is>
          <t>агрегат 3 задач</t>
        </is>
      </c>
      <c r="G9" s="3" t="inlineStr">
        <is>
          <t>3/3</t>
        </is>
      </c>
      <c r="H9" s="3" t="n">
        <v>15.58</v>
      </c>
      <c r="I9" s="3" t="n">
        <v>11.5</v>
      </c>
      <c r="J9" s="3" t="inlineStr">
        <is>
          <t>н-д</t>
        </is>
      </c>
      <c r="K9" s="3" t="inlineStr">
        <is>
          <t>н-д</t>
        </is>
      </c>
      <c r="L9" s="3" t="inlineStr">
        <is>
          <t>делег. 28%</t>
        </is>
      </c>
      <c r="M9" s="3" t="inlineStr">
        <is>
          <t>н-д</t>
        </is>
      </c>
      <c r="N9" s="3" t="inlineStr">
        <is>
          <t>конфаунд релиз+дизайнер</t>
        </is>
      </c>
    </row>
    <row r="10">
      <c r="A10" s="3" t="inlineStr">
        <is>
          <t>№2</t>
        </is>
      </c>
      <c r="B10" s="3" t="inlineStr">
        <is>
          <t>07-14</t>
        </is>
      </c>
      <c r="C10" s="3" t="inlineStr">
        <is>
          <t>v0.2.0</t>
        </is>
      </c>
      <c r="D10" s="3" t="inlineStr">
        <is>
          <t>fable</t>
        </is>
      </c>
      <c r="E10" s="3" t="inlineStr">
        <is>
          <t>B0</t>
        </is>
      </c>
      <c r="F10" s="3" t="inlineStr">
        <is>
          <t>агрегат 3 задач</t>
        </is>
      </c>
      <c r="G10" s="3" t="inlineStr">
        <is>
          <t>3/3</t>
        </is>
      </c>
      <c r="H10" s="3" t="n">
        <v>14.82</v>
      </c>
      <c r="I10" s="3" t="n">
        <v>11.1</v>
      </c>
      <c r="J10" s="3" t="inlineStr">
        <is>
          <t>н-д</t>
        </is>
      </c>
      <c r="K10" s="3" t="inlineStr">
        <is>
          <t>н-д</t>
        </is>
      </c>
      <c r="L10" s="3" t="inlineStr">
        <is>
          <t>делег. 24%; 2 reject-ретрая</t>
        </is>
      </c>
      <c r="M10" s="3" t="inlineStr">
        <is>
          <t>н-д</t>
        </is>
      </c>
      <c r="N10" s="3" t="inlineStr">
        <is>
          <t>контрольное плечо без дизайнера</t>
        </is>
      </c>
    </row>
    <row r="11">
      <c r="A11" s="3" t="inlineStr">
        <is>
          <t>№2</t>
        </is>
      </c>
      <c r="B11" s="3" t="inlineStr">
        <is>
          <t>07-14</t>
        </is>
      </c>
      <c r="C11" s="3" t="inlineStr">
        <is>
          <t>v0.2.0+дизайнер</t>
        </is>
      </c>
      <c r="D11" s="3" t="inlineStr">
        <is>
          <t>fable</t>
        </is>
      </c>
      <c r="E11" s="3" t="inlineStr">
        <is>
          <t>C</t>
        </is>
      </c>
      <c r="F11" s="3" t="inlineStr">
        <is>
          <t>агрегат 3 задач</t>
        </is>
      </c>
      <c r="G11" s="3" t="inlineStr">
        <is>
          <t>3/3</t>
        </is>
      </c>
      <c r="H11" s="3" t="n">
        <v>9.779999999999999</v>
      </c>
      <c r="I11" s="3" t="n">
        <v>9</v>
      </c>
      <c r="J11" s="3" t="inlineStr">
        <is>
          <t>н-д</t>
        </is>
      </c>
      <c r="K11" s="3" t="inlineStr">
        <is>
          <t>н-д</t>
        </is>
      </c>
      <c r="L11" s="3" t="inlineStr">
        <is>
          <t>делег. 59%</t>
        </is>
      </c>
      <c r="M11" s="3" t="inlineStr">
        <is>
          <t>н-д</t>
        </is>
      </c>
      <c r="N11" s="3" t="inlineStr">
        <is>
          <t>все деливераблы файлами</t>
        </is>
      </c>
    </row>
    <row r="12">
      <c r="A12" s="3" t="inlineStr">
        <is>
          <t>№3</t>
        </is>
      </c>
      <c r="B12" s="3" t="inlineStr">
        <is>
          <t>07-15</t>
        </is>
      </c>
      <c r="C12" s="3" t="inlineStr">
        <is>
          <t>v0.2.0</t>
        </is>
      </c>
      <c r="D12" s="3" t="inlineStr">
        <is>
          <t>sonnet</t>
        </is>
      </c>
      <c r="E12" s="3" t="inlineStr">
        <is>
          <t>A</t>
        </is>
      </c>
      <c r="F12" s="3" t="inlineStr">
        <is>
          <t>агрегат 3 задач</t>
        </is>
      </c>
      <c r="G12" s="3" t="inlineStr">
        <is>
          <t>3/3*</t>
        </is>
      </c>
      <c r="H12" s="3" t="n">
        <v>1.02</v>
      </c>
      <c r="I12" s="3" t="n">
        <v>1.3</v>
      </c>
      <c r="J12" s="3" t="inlineStr">
        <is>
          <t>н-д</t>
        </is>
      </c>
      <c r="K12" s="3" t="inlineStr">
        <is>
          <t>н-д</t>
        </is>
      </c>
      <c r="L12" s="3" t="inlineStr">
        <is>
          <t>делег. 0%</t>
        </is>
      </c>
      <c r="M12" s="3" t="inlineStr">
        <is>
          <t>рубрика 6а: +1</t>
        </is>
      </c>
      <c r="N12" s="3" t="inlineStr">
        <is>
          <t>*A-t1 артефакт-ссылка из аккаунта</t>
        </is>
      </c>
    </row>
    <row r="13">
      <c r="A13" s="3" t="inlineStr">
        <is>
          <t>№3</t>
        </is>
      </c>
      <c r="B13" s="3" t="inlineStr">
        <is>
          <t>07-15</t>
        </is>
      </c>
      <c r="C13" s="3" t="inlineStr">
        <is>
          <t>v0.2.0</t>
        </is>
      </c>
      <c r="D13" s="3" t="inlineStr">
        <is>
          <t>sonnet</t>
        </is>
      </c>
      <c r="E13" s="3" t="inlineStr">
        <is>
          <t>B</t>
        </is>
      </c>
      <c r="F13" s="3" t="inlineStr">
        <is>
          <t>агрегат 3 задач</t>
        </is>
      </c>
      <c r="G13" s="3" t="inlineStr">
        <is>
          <t>3/3</t>
        </is>
      </c>
      <c r="H13" s="3" t="n">
        <v>7.14</v>
      </c>
      <c r="I13" s="3" t="n">
        <v>9.6</v>
      </c>
      <c r="J13" s="3" t="inlineStr">
        <is>
          <t>н-д</t>
        </is>
      </c>
      <c r="K13" s="3" t="inlineStr">
        <is>
          <t>н-д</t>
        </is>
      </c>
      <c r="L13" s="3" t="inlineStr">
        <is>
          <t>делег. 53%; полный каскад политики B-t1</t>
        </is>
      </c>
      <c r="M13" s="3" t="inlineStr">
        <is>
          <t>рубрика 6а: +2</t>
        </is>
      </c>
      <c r="N13" s="3" t="inlineStr">
        <is>
          <t>первый Sonnet-координатор + раннер</t>
        </is>
      </c>
    </row>
    <row r="14">
      <c r="A14" s="3" t="inlineStr">
        <is>
          <t>№3</t>
        </is>
      </c>
      <c r="B14" s="3" t="inlineStr">
        <is>
          <t>07-15</t>
        </is>
      </c>
      <c r="C14" s="3" t="inlineStr">
        <is>
          <t>v0.2.0</t>
        </is>
      </c>
      <c r="D14" s="3" t="inlineStr">
        <is>
          <t>sonnet</t>
        </is>
      </c>
      <c r="E14" s="3" t="inlineStr">
        <is>
          <t>C</t>
        </is>
      </c>
      <c r="F14" s="3" t="inlineStr">
        <is>
          <t>агрегат 3 задач</t>
        </is>
      </c>
      <c r="G14" s="3" t="inlineStr">
        <is>
          <t>3/3</t>
        </is>
      </c>
      <c r="H14" s="3" t="n">
        <v>5.76</v>
      </c>
      <c r="I14" s="3" t="n">
        <v>8.800000000000001</v>
      </c>
      <c r="J14" s="3" t="inlineStr">
        <is>
          <t>н-д</t>
        </is>
      </c>
      <c r="K14" s="3" t="inlineStr">
        <is>
          <t>н-д</t>
        </is>
      </c>
      <c r="L14" s="3" t="inlineStr">
        <is>
          <t>делег. 76%</t>
        </is>
      </c>
      <c r="M14" s="3" t="inlineStr">
        <is>
          <t>рубрика 6а: +2</t>
        </is>
      </c>
      <c r="N14" s="3" t="inlineStr">
        <is>
          <t>C впервые закрыл ключ =6</t>
        </is>
      </c>
    </row>
    <row r="15">
      <c r="A15" s="3" t="inlineStr">
        <is>
          <t>№4</t>
        </is>
      </c>
      <c r="B15" s="3" t="inlineStr">
        <is>
          <t>07-15</t>
        </is>
      </c>
      <c r="C15" s="3" t="inlineStr">
        <is>
          <t>v0.1.0</t>
        </is>
      </c>
      <c r="D15" s="3" t="inlineStr">
        <is>
          <t>sonnet</t>
        </is>
      </c>
      <c r="E15" s="3" t="inlineStr">
        <is>
          <t>A</t>
        </is>
      </c>
      <c r="F15" s="3" t="inlineStr">
        <is>
          <t>агрегат 3 задач</t>
        </is>
      </c>
      <c r="G15" s="3" t="inlineStr">
        <is>
          <t>3/3*</t>
        </is>
      </c>
      <c r="H15" s="3" t="n">
        <v>1.47</v>
      </c>
      <c r="I15" s="3" t="n">
        <v>2.1</v>
      </c>
      <c r="J15" s="3" t="inlineStr">
        <is>
          <t>н-д</t>
        </is>
      </c>
      <c r="K15" s="3" t="inlineStr">
        <is>
          <t>н-д</t>
        </is>
      </c>
      <c r="L15" s="3" t="inlineStr">
        <is>
          <t>делег. 0%</t>
        </is>
      </c>
      <c r="M15" s="3" t="inlineStr">
        <is>
          <t>рубрика 6а: +1</t>
        </is>
      </c>
      <c r="N15" s="3" t="inlineStr"/>
    </row>
    <row r="16">
      <c r="A16" s="3" t="inlineStr">
        <is>
          <t>№4</t>
        </is>
      </c>
      <c r="B16" s="3" t="inlineStr">
        <is>
          <t>07-15</t>
        </is>
      </c>
      <c r="C16" s="3" t="inlineStr">
        <is>
          <t>v0.1.0</t>
        </is>
      </c>
      <c r="D16" s="3" t="inlineStr">
        <is>
          <t>sonnet</t>
        </is>
      </c>
      <c r="E16" s="3" t="inlineStr">
        <is>
          <t>B</t>
        </is>
      </c>
      <c r="F16" s="3" t="inlineStr">
        <is>
          <t>агрегат 3 задач</t>
        </is>
      </c>
      <c r="G16" s="3" t="inlineStr">
        <is>
          <t>3/3</t>
        </is>
      </c>
      <c r="H16" s="3" t="n">
        <v>10.14</v>
      </c>
      <c r="I16" s="3" t="n">
        <v>12.9</v>
      </c>
      <c r="J16" s="3" t="inlineStr">
        <is>
          <t>н-д</t>
        </is>
      </c>
      <c r="K16" s="3" t="inlineStr">
        <is>
          <t>н-д</t>
        </is>
      </c>
      <c r="L16" s="3" t="inlineStr">
        <is>
          <t>делег. 58%</t>
        </is>
      </c>
      <c r="M16" s="3" t="inlineStr">
        <is>
          <t>рубрика 6а: +3</t>
        </is>
      </c>
      <c r="N16" s="3" t="inlineStr">
        <is>
          <t>первый reject реального цикла (критик)</t>
        </is>
      </c>
    </row>
    <row r="17">
      <c r="A17" s="3" t="inlineStr">
        <is>
          <t>№4</t>
        </is>
      </c>
      <c r="B17" s="3" t="inlineStr">
        <is>
          <t>07-15</t>
        </is>
      </c>
      <c r="C17" s="3" t="inlineStr">
        <is>
          <t>v0.1.0</t>
        </is>
      </c>
      <c r="D17" s="3" t="inlineStr">
        <is>
          <t>sonnet</t>
        </is>
      </c>
      <c r="E17" s="3" t="inlineStr">
        <is>
          <t>C</t>
        </is>
      </c>
      <c r="F17" s="3" t="inlineStr">
        <is>
          <t>агрегат 3 задач</t>
        </is>
      </c>
      <c r="G17" s="3" t="inlineStr">
        <is>
          <t>3/3</t>
        </is>
      </c>
      <c r="H17" s="3" t="n">
        <v>6.39</v>
      </c>
      <c r="I17" s="3" t="n">
        <v>8.300000000000001</v>
      </c>
      <c r="J17" s="3" t="inlineStr">
        <is>
          <t>н-д</t>
        </is>
      </c>
      <c r="K17" s="3" t="inlineStr">
        <is>
          <t>н-д</t>
        </is>
      </c>
      <c r="L17" s="3" t="inlineStr">
        <is>
          <t>делег. 75%</t>
        </is>
      </c>
      <c r="M17" s="3" t="inlineStr">
        <is>
          <t>рубрика 6а: +2</t>
        </is>
      </c>
      <c r="N17" s="3" t="inlineStr"/>
    </row>
    <row r="18">
      <c r="A18" s="3" t="inlineStr">
        <is>
          <t>№7</t>
        </is>
      </c>
      <c r="B18" s="3" t="inlineStr">
        <is>
          <t>07-16</t>
        </is>
      </c>
      <c r="C18" s="3" t="inlineStr">
        <is>
          <t>kit 2560d2b</t>
        </is>
      </c>
      <c r="D18" s="3" t="inlineStr">
        <is>
          <t>sonnet</t>
        </is>
      </c>
      <c r="E18" s="3" t="inlineStr">
        <is>
          <t>Bfull</t>
        </is>
      </c>
      <c r="F18" s="3" t="inlineStr">
        <is>
          <t>агрегат 3 задач</t>
        </is>
      </c>
      <c r="G18" s="3" t="inlineStr">
        <is>
          <t>3/3</t>
        </is>
      </c>
      <c r="H18" s="3" t="n">
        <v>10.33</v>
      </c>
      <c r="I18" s="3" t="n">
        <v>16.7</v>
      </c>
      <c r="J18" s="3" t="n">
        <v>0.93</v>
      </c>
      <c r="K18" s="3">
        <f>ROUND(H18/J18,1)</f>
        <v/>
      </c>
      <c r="L18" s="3" t="inlineStr">
        <is>
          <t>делег. 66%</t>
        </is>
      </c>
      <c r="M18" s="3" t="inlineStr">
        <is>
          <t>t3: M1 delete-по-позиции ВЫЖИЛ</t>
        </is>
      </c>
      <c r="N18" s="3" t="inlineStr">
        <is>
          <t>рубрика 6а +3; время=окно/3</t>
        </is>
      </c>
    </row>
    <row r="19">
      <c r="A19" s="3" t="inlineStr">
        <is>
          <t>№7</t>
        </is>
      </c>
      <c r="B19" s="3" t="inlineStr">
        <is>
          <t>07-16</t>
        </is>
      </c>
      <c r="C19" s="3" t="inlineStr">
        <is>
          <t>diet 70cbd59</t>
        </is>
      </c>
      <c r="D19" s="3" t="inlineStr">
        <is>
          <t>sonnet</t>
        </is>
      </c>
      <c r="E19" s="3" t="inlineStr">
        <is>
          <t>Bdiet</t>
        </is>
      </c>
      <c r="F19" s="3" t="inlineStr">
        <is>
          <t>агрегат 3 задач</t>
        </is>
      </c>
      <c r="G19" s="3" t="inlineStr">
        <is>
          <t>3/3</t>
        </is>
      </c>
      <c r="H19" s="3" t="n">
        <v>11.33</v>
      </c>
      <c r="I19" s="3" t="n">
        <v>16.7</v>
      </c>
      <c r="J19" s="3" t="n">
        <v>0.91</v>
      </c>
      <c r="K19" s="3">
        <f>ROUND(H19/J19,1)</f>
        <v/>
      </c>
      <c r="L19" s="3" t="inlineStr">
        <is>
          <t>делег. 62%</t>
        </is>
      </c>
      <c r="M19" s="3" t="inlineStr">
        <is>
          <t>критик-каденцию поле игнорировало</t>
        </is>
      </c>
      <c r="N19" s="3" t="inlineStr">
        <is>
          <t>диета исполнена частично</t>
        </is>
      </c>
    </row>
    <row r="20">
      <c r="A20" s="3" t="inlineStr">
        <is>
          <t>№7</t>
        </is>
      </c>
      <c r="B20" s="3" t="inlineStr">
        <is>
          <t>07-16</t>
        </is>
      </c>
      <c r="C20" s="3" t="inlineStr">
        <is>
          <t>—</t>
        </is>
      </c>
      <c r="D20" s="3" t="inlineStr">
        <is>
          <t>sonnet</t>
        </is>
      </c>
      <c r="E20" s="3" t="inlineStr">
        <is>
          <t>C</t>
        </is>
      </c>
      <c r="F20" s="3" t="inlineStr">
        <is>
          <t>t1</t>
        </is>
      </c>
      <c r="G20" s="3" t="inlineStr">
        <is>
          <t>да</t>
        </is>
      </c>
      <c r="H20" s="3" t="n">
        <v>1.42</v>
      </c>
      <c r="I20" s="3" t="n"/>
      <c r="J20" s="3" t="inlineStr">
        <is>
          <t>н-д</t>
        </is>
      </c>
      <c r="K20" s="3" t="inlineStr"/>
      <c r="L20" s="3" t="inlineStr">
        <is>
          <t>29 ходов</t>
        </is>
      </c>
      <c r="M20" s="3" t="inlineStr">
        <is>
          <t>без тестов (kill н-п)</t>
        </is>
      </c>
      <c r="N20" s="3" t="inlineStr">
        <is>
          <t>per-task из t-166</t>
        </is>
      </c>
    </row>
    <row r="21">
      <c r="A21" s="3" t="inlineStr">
        <is>
          <t>№7</t>
        </is>
      </c>
      <c r="B21" s="3" t="inlineStr">
        <is>
          <t>07-16</t>
        </is>
      </c>
      <c r="C21" s="3" t="inlineStr">
        <is>
          <t>—</t>
        </is>
      </c>
      <c r="D21" s="3" t="inlineStr">
        <is>
          <t>sonnet</t>
        </is>
      </c>
      <c r="E21" s="3" t="inlineStr">
        <is>
          <t>C</t>
        </is>
      </c>
      <c r="F21" s="3" t="inlineStr">
        <is>
          <t>t2</t>
        </is>
      </c>
      <c r="G21" s="3" t="inlineStr">
        <is>
          <t>да</t>
        </is>
      </c>
      <c r="H21" s="3" t="n">
        <v>4.04</v>
      </c>
      <c r="I21" s="3" t="n"/>
      <c r="J21" s="3" t="inlineStr">
        <is>
          <t>н-д</t>
        </is>
      </c>
      <c r="K21" s="3" t="inlineStr"/>
      <c r="L21" s="3" t="inlineStr">
        <is>
          <t>69 ходов; 5 параллельных sonnet + opus-синтез</t>
        </is>
      </c>
      <c r="M21" s="3" t="inlineStr">
        <is>
          <t>stall 303s</t>
        </is>
      </c>
      <c r="N21" s="3" t="inlineStr"/>
    </row>
    <row r="22">
      <c r="A22" s="3" t="inlineStr">
        <is>
          <t>№7</t>
        </is>
      </c>
      <c r="B22" s="3" t="inlineStr">
        <is>
          <t>07-16</t>
        </is>
      </c>
      <c r="C22" s="3" t="inlineStr">
        <is>
          <t>—</t>
        </is>
      </c>
      <c r="D22" s="3" t="inlineStr">
        <is>
          <t>sonnet</t>
        </is>
      </c>
      <c r="E22" s="3" t="inlineStr">
        <is>
          <t>C</t>
        </is>
      </c>
      <c r="F22" s="3" t="inlineStr">
        <is>
          <t>t3</t>
        </is>
      </c>
      <c r="G22" s="3" t="inlineStr">
        <is>
          <t>да</t>
        </is>
      </c>
      <c r="H22" s="3" t="n">
        <v>1.67</v>
      </c>
      <c r="I22" s="3" t="n"/>
      <c r="J22" s="3" t="inlineStr">
        <is>
          <t>н-д</t>
        </is>
      </c>
      <c r="K22" s="3" t="inlineStr"/>
      <c r="L22" s="3" t="inlineStr">
        <is>
          <t>39 ходов</t>
        </is>
      </c>
      <c r="M22" s="3" t="inlineStr">
        <is>
          <t>M1 ВЫЖИЛ (kill 5/6)</t>
        </is>
      </c>
      <c r="N22" s="3" t="inlineStr">
        <is>
          <t>рубрика 6а C +2</t>
        </is>
      </c>
    </row>
    <row r="23">
      <c r="A23" s="4" t="inlineStr">
        <is>
          <t>№7</t>
        </is>
      </c>
      <c r="B23" s="4" t="inlineStr"/>
      <c r="C23" s="4" t="inlineStr"/>
      <c r="D23" s="4" t="inlineStr">
        <is>
          <t>sonnet</t>
        </is>
      </c>
      <c r="E23" s="4" t="inlineStr">
        <is>
          <t>C</t>
        </is>
      </c>
      <c r="F23" s="4" t="inlineStr">
        <is>
          <t>ИТОГ ПЛЕЧА</t>
        </is>
      </c>
      <c r="G23" s="4" t="inlineStr"/>
      <c r="H23" s="4">
        <f>SUM(H20:H22)</f>
        <v/>
      </c>
      <c r="I23" s="4">
        <f>SUM(I20:I22)</f>
        <v/>
      </c>
      <c r="J23" s="4">
        <f>J20</f>
        <v/>
      </c>
      <c r="K23" s="4">
        <f>IF(OR(J20="",J20=0),"н-д",ROUND(SUM(H20:H22)/J20,1))</f>
        <v/>
      </c>
      <c r="L23" s="4" t="inlineStr"/>
      <c r="M23" s="4" t="inlineStr"/>
      <c r="N23" s="4" t="inlineStr"/>
    </row>
    <row r="24">
      <c r="A24" s="3" t="inlineStr">
        <is>
          <t>№8</t>
        </is>
      </c>
      <c r="B24" s="3" t="inlineStr">
        <is>
          <t>07-16</t>
        </is>
      </c>
      <c r="C24" s="3" t="inlineStr">
        <is>
          <t>kit v2 c3c267f</t>
        </is>
      </c>
      <c r="D24" s="3" t="inlineStr">
        <is>
          <t>sonnet</t>
        </is>
      </c>
      <c r="E24" s="3" t="inlineStr">
        <is>
          <t>Bdiet2</t>
        </is>
      </c>
      <c r="F24" s="3" t="inlineStr">
        <is>
          <t>агрегат 3 задач</t>
        </is>
      </c>
      <c r="G24" s="3" t="inlineStr">
        <is>
          <t>3/3</t>
        </is>
      </c>
      <c r="H24" s="3" t="n">
        <v>12.21</v>
      </c>
      <c r="I24" s="3" t="n">
        <v>8</v>
      </c>
      <c r="J24" s="3" t="n">
        <v>0.85</v>
      </c>
      <c r="K24" s="3">
        <f>ROUND(H24/J24,1)</f>
        <v/>
      </c>
      <c r="L24" s="3" t="inlineStr">
        <is>
          <t>делег. 62%; 1 критик/клетку (гейт)</t>
        </is>
      </c>
      <c r="M24" s="3" t="inlineStr">
        <is>
          <t>t2 сдан внешним артефактом (0 файлов); t1 kill 50%</t>
        </is>
      </c>
      <c r="N24" s="3" t="inlineStr">
        <is>
          <t>гейт удержал каденцию</t>
        </is>
      </c>
    </row>
    <row r="25">
      <c r="A25" s="3" t="inlineStr">
        <is>
          <t>№9</t>
        </is>
      </c>
      <c r="B25" s="3" t="inlineStr">
        <is>
          <t>07-16</t>
        </is>
      </c>
      <c r="C25" s="3" t="inlineStr">
        <is>
          <t>kit v3 61f3c8d</t>
        </is>
      </c>
      <c r="D25" s="3" t="inlineStr">
        <is>
          <t>sonnet</t>
        </is>
      </c>
      <c r="E25" s="3" t="inlineStr">
        <is>
          <t>Bdiet3</t>
        </is>
      </c>
      <c r="F25" s="3" t="inlineStr">
        <is>
          <t>агрегат 3 задач</t>
        </is>
      </c>
      <c r="G25" s="3" t="inlineStr">
        <is>
          <t>3/3</t>
        </is>
      </c>
      <c r="H25" s="3" t="n">
        <v>13.41</v>
      </c>
      <c r="I25" s="3" t="n">
        <v>12</v>
      </c>
      <c r="J25" s="3" t="n">
        <v>0.65</v>
      </c>
      <c r="K25" s="3">
        <f>ROUND(H25/J25,1)</f>
        <v/>
      </c>
      <c r="L25" s="3" t="inlineStr">
        <is>
          <t>делег. н-д</t>
        </is>
      </c>
      <c r="M25" s="3" t="inlineStr">
        <is>
          <t>t1: 2+2*2 -&gt; Error (парсер одной операции), тестов нет</t>
        </is>
      </c>
      <c r="N25" s="3" t="inlineStr">
        <is>
          <t>худшее качество серии; диета критика закрыта</t>
        </is>
      </c>
    </row>
    <row r="26">
      <c r="A26" s="3" t="inlineStr">
        <is>
          <t>№10</t>
        </is>
      </c>
      <c r="B26" s="3" t="inlineStr">
        <is>
          <t>07-16</t>
        </is>
      </c>
      <c r="C26" s="3" t="inlineStr">
        <is>
          <t>kit v4 (ГИБРИД)</t>
        </is>
      </c>
      <c r="D26" s="3" t="inlineStr">
        <is>
          <t>sonnet</t>
        </is>
      </c>
      <c r="E26" s="3" t="inlineStr">
        <is>
          <t>Bfg</t>
        </is>
      </c>
      <c r="F26" s="3" t="inlineStr">
        <is>
          <t>агрегат 3 задач</t>
        </is>
      </c>
      <c r="G26" s="3" t="inlineStr">
        <is>
          <t>3/3</t>
        </is>
      </c>
      <c r="H26" s="3" t="n">
        <v>6.03</v>
      </c>
      <c r="I26" s="3" t="n"/>
      <c r="J26" s="3" t="n">
        <v>0.85</v>
      </c>
      <c r="K26" s="3">
        <f>ROUND(H26/J26,1)</f>
        <v/>
      </c>
      <c r="L26" s="3" t="inlineStr">
        <is>
          <t>делег. н-д</t>
        </is>
      </c>
      <c r="M26" s="3" t="inlineStr">
        <is>
          <t>стейл диет-critic.md (defect_found t-155)</t>
        </is>
      </c>
      <c r="N26" s="3" t="inlineStr">
        <is>
          <t>лучший F 7.1, но конфигурация скомпрометирована</t>
        </is>
      </c>
    </row>
    <row r="27">
      <c r="A27" s="3" t="inlineStr">
        <is>
          <t>№10б</t>
        </is>
      </c>
      <c r="B27" s="3" t="inlineStr">
        <is>
          <t>07-16</t>
        </is>
      </c>
      <c r="C27" s="3" t="inlineStr">
        <is>
          <t>kit v4.1 42b6812</t>
        </is>
      </c>
      <c r="D27" s="3" t="inlineStr">
        <is>
          <t>sonnet</t>
        </is>
      </c>
      <c r="E27" s="3" t="inlineStr">
        <is>
          <t>Bfg2</t>
        </is>
      </c>
      <c r="F27" s="3" t="inlineStr">
        <is>
          <t>агрегат 3 задач</t>
        </is>
      </c>
      <c r="G27" s="3" t="inlineStr">
        <is>
          <t>3/3</t>
        </is>
      </c>
      <c r="H27" s="3" t="n">
        <v>15.79</v>
      </c>
      <c r="I27" s="3" t="n"/>
      <c r="J27" s="3" t="n">
        <v>0.62</v>
      </c>
      <c r="K27" s="3">
        <f>ROUND(H27/J27,1)</f>
        <v/>
      </c>
      <c r="L27" s="3" t="inlineStr">
        <is>
          <t>делег. н-д</t>
        </is>
      </c>
      <c r="M27" s="3" t="inlineStr">
        <is>
          <t>t1 веб без тестов; скобки молча неверно</t>
        </is>
      </c>
      <c r="N27" s="3" t="inlineStr">
        <is>
          <t>дисперсия x2.6 к №10</t>
        </is>
      </c>
    </row>
    <row r="28">
      <c r="A28" s="3" t="inlineStr">
        <is>
          <t>№11</t>
        </is>
      </c>
      <c r="B28" s="3" t="inlineStr">
        <is>
          <t>07-16</t>
        </is>
      </c>
      <c r="C28" s="3" t="inlineStr">
        <is>
          <t>kit v5.1 cbd5cd1</t>
        </is>
      </c>
      <c r="D28" s="3" t="inlineStr">
        <is>
          <t>sonnet</t>
        </is>
      </c>
      <c r="E28" s="3" t="inlineStr">
        <is>
          <t>Bfg3</t>
        </is>
      </c>
      <c r="F28" s="3" t="inlineStr">
        <is>
          <t>t1</t>
        </is>
      </c>
      <c r="G28" s="3" t="inlineStr">
        <is>
          <t>да</t>
        </is>
      </c>
      <c r="H28" s="3" t="n">
        <v>5.8</v>
      </c>
      <c r="I28" s="3" t="n">
        <v>30.2</v>
      </c>
      <c r="J28" s="3" t="n">
        <v>0.88</v>
      </c>
      <c r="K28" s="3" t="inlineStr"/>
      <c r="L28" s="3" t="inlineStr">
        <is>
          <t>main:sonnet=41; side: opus=66 haiku=58 sonnet=60 fable=10 (7 аг.)</t>
        </is>
      </c>
      <c r="M28" s="3" t="inlineStr">
        <is>
          <t>kill 4/6: M3 (defense-in-depth), M6 граница MAX_INPUT_LEN без теста</t>
        </is>
      </c>
      <c r="N28" s="3" t="inlineStr">
        <is>
          <t>44 теста; композиты/DoS чисто</t>
        </is>
      </c>
    </row>
    <row r="29">
      <c r="A29" s="3" t="inlineStr">
        <is>
          <t>№11</t>
        </is>
      </c>
      <c r="B29" s="3" t="inlineStr">
        <is>
          <t>07-16</t>
        </is>
      </c>
      <c r="C29" s="3" t="inlineStr">
        <is>
          <t>kit v5.1 cbd5cd1</t>
        </is>
      </c>
      <c r="D29" s="3" t="inlineStr">
        <is>
          <t>sonnet</t>
        </is>
      </c>
      <c r="E29" s="3" t="inlineStr">
        <is>
          <t>Bfg3</t>
        </is>
      </c>
      <c r="F29" s="3" t="inlineStr">
        <is>
          <t>t2</t>
        </is>
      </c>
      <c r="G29" s="3" t="inlineStr">
        <is>
          <t>да</t>
        </is>
      </c>
      <c r="H29" s="3" t="n">
        <v>3.81</v>
      </c>
      <c r="I29" s="3" t="n">
        <v>18.8</v>
      </c>
      <c r="J29" s="3" t="n">
        <v>0.88</v>
      </c>
      <c r="K29" s="3" t="inlineStr"/>
      <c r="L29" s="3" t="inlineStr">
        <is>
          <t>main:sonnet=60; side: haiku=59 opus=28 fable=14 (3 аг.)</t>
        </is>
      </c>
      <c r="M29" s="3" t="inlineStr">
        <is>
          <t>red-run не повторён (флаг); снимок разошёлся (+отчёт после)</t>
        </is>
      </c>
      <c r="N29" s="3" t="inlineStr">
        <is>
          <t>первый файловый отчёт серии; критик-на-план жив</t>
        </is>
      </c>
    </row>
    <row r="30">
      <c r="A30" s="3" t="inlineStr">
        <is>
          <t>№11</t>
        </is>
      </c>
      <c r="B30" s="3" t="inlineStr">
        <is>
          <t>07-16</t>
        </is>
      </c>
      <c r="C30" s="3" t="inlineStr">
        <is>
          <t>kit v5.1 cbd5cd1</t>
        </is>
      </c>
      <c r="D30" s="3" t="inlineStr">
        <is>
          <t>sonnet</t>
        </is>
      </c>
      <c r="E30" s="3" t="inlineStr">
        <is>
          <t>Bfg3</t>
        </is>
      </c>
      <c r="F30" s="3" t="inlineStr">
        <is>
          <t>t3</t>
        </is>
      </c>
      <c r="G30" s="3" t="inlineStr">
        <is>
          <t>да</t>
        </is>
      </c>
      <c r="H30" s="3" t="n">
        <v>2.2</v>
      </c>
      <c r="I30" s="3" t="n">
        <v>12.5</v>
      </c>
      <c r="J30" s="3" t="n">
        <v>0.88</v>
      </c>
      <c r="K30" s="3" t="inlineStr"/>
      <c r="L30" s="3" t="inlineStr">
        <is>
          <t>main:sonnet=43; side: haiku=50 opus=17 sonnet=22 (3 аг.)</t>
        </is>
      </c>
      <c r="M30" s="3" t="inlineStr">
        <is>
          <t>журналы t1/t3 с дефектами формата</t>
        </is>
      </c>
      <c r="N30" s="3" t="inlineStr">
        <is>
          <t>kill 6/6 — класс M1 закрыт</t>
        </is>
      </c>
    </row>
    <row r="31">
      <c r="A31" s="4" t="inlineStr">
        <is>
          <t>№11</t>
        </is>
      </c>
      <c r="B31" s="4" t="inlineStr"/>
      <c r="C31" s="4" t="inlineStr"/>
      <c r="D31" s="4" t="inlineStr">
        <is>
          <t>sonnet</t>
        </is>
      </c>
      <c r="E31" s="4" t="inlineStr">
        <is>
          <t>Bfg3</t>
        </is>
      </c>
      <c r="F31" s="4" t="inlineStr">
        <is>
          <t>ИТОГ ПЛЕЧА</t>
        </is>
      </c>
      <c r="G31" s="4" t="inlineStr"/>
      <c r="H31" s="4">
        <f>SUM(H28:H30)</f>
        <v/>
      </c>
      <c r="I31" s="4">
        <f>SUM(I28:I30)</f>
        <v/>
      </c>
      <c r="J31" s="4">
        <f>J28</f>
        <v/>
      </c>
      <c r="K31" s="4">
        <f>IF(OR(J28="",J28=0),"н-д",ROUND(SUM(H28:H30)/J28,1))</f>
        <v/>
      </c>
      <c r="L31" s="4" t="inlineStr"/>
      <c r="M31" s="4" t="inlineStr"/>
      <c r="N31" s="4" t="inlineStr"/>
    </row>
    <row r="32">
      <c r="A32" s="3" t="inlineStr">
        <is>
          <t>№12</t>
        </is>
      </c>
      <c r="B32" s="3" t="inlineStr">
        <is>
          <t>07-18</t>
        </is>
      </c>
      <c r="C32" s="3" t="inlineStr">
        <is>
          <t>kit v5.1 (ПИН)</t>
        </is>
      </c>
      <c r="D32" s="3" t="inlineStr">
        <is>
          <t>fable</t>
        </is>
      </c>
      <c r="E32" s="3" t="inlineStr">
        <is>
          <t>Ffg1</t>
        </is>
      </c>
      <c r="F32" s="3" t="inlineStr">
        <is>
          <t>t1</t>
        </is>
      </c>
      <c r="G32" s="3" t="inlineStr">
        <is>
          <t>да</t>
        </is>
      </c>
      <c r="H32" s="3" t="n">
        <v>12.28</v>
      </c>
      <c r="I32" s="3" t="n">
        <v>18.2</v>
      </c>
      <c r="J32" s="3" t="n">
        <v>0.95</v>
      </c>
      <c r="K32" s="3" t="inlineStr"/>
      <c r="L32" s="3" t="inlineStr">
        <is>
          <t>main:fable=115; side: opus=68 sonnet=56 fable=3 (5 аг.)</t>
        </is>
      </c>
      <c r="M32" s="3" t="inlineStr">
        <is>
          <t>kill 5/6: M6 граница MAX_DEPTH без теста (3-й повтор класса)</t>
        </is>
      </c>
      <c r="N32" s="3" t="inlineStr">
        <is>
          <t>33 теста; полный цикл defect_found по принятой + эскалация на opus</t>
        </is>
      </c>
    </row>
    <row r="33">
      <c r="A33" s="3" t="inlineStr">
        <is>
          <t>№12</t>
        </is>
      </c>
      <c r="B33" s="3" t="inlineStr">
        <is>
          <t>07-18</t>
        </is>
      </c>
      <c r="C33" s="3" t="inlineStr">
        <is>
          <t>kit v5.1 (ПИН)</t>
        </is>
      </c>
      <c r="D33" s="3" t="inlineStr">
        <is>
          <t>fable</t>
        </is>
      </c>
      <c r="E33" s="3" t="inlineStr">
        <is>
          <t>Ffg1</t>
        </is>
      </c>
      <c r="F33" s="3" t="inlineStr">
        <is>
          <t>t2</t>
        </is>
      </c>
      <c r="G33" s="3" t="inlineStr">
        <is>
          <t>да</t>
        </is>
      </c>
      <c r="H33" s="3" t="n">
        <v>7.64</v>
      </c>
      <c r="I33" s="3" t="n">
        <v>13.8</v>
      </c>
      <c r="J33" s="3" t="n">
        <v>0.95</v>
      </c>
      <c r="K33" s="3" t="inlineStr"/>
      <c r="L33" s="3" t="inlineStr">
        <is>
          <t>main:fable=93; side: haiku=85 opus=28 (3 аг.)</t>
        </is>
      </c>
      <c r="M33" s="3" t="inlineStr">
        <is>
          <t>3 range-неточности из 40 file:line (37/40 точны)</t>
        </is>
      </c>
      <c r="N33" s="3" t="inlineStr">
        <is>
          <t>единств. клетка №12 с чистым журналом</t>
        </is>
      </c>
    </row>
    <row r="34">
      <c r="A34" s="3" t="inlineStr">
        <is>
          <t>№12</t>
        </is>
      </c>
      <c r="B34" s="3" t="inlineStr">
        <is>
          <t>07-18</t>
        </is>
      </c>
      <c r="C34" s="3" t="inlineStr">
        <is>
          <t>kit v5.1 (ПИН)</t>
        </is>
      </c>
      <c r="D34" s="3" t="inlineStr">
        <is>
          <t>fable</t>
        </is>
      </c>
      <c r="E34" s="3" t="inlineStr">
        <is>
          <t>Ffg1</t>
        </is>
      </c>
      <c r="F34" s="3" t="inlineStr">
        <is>
          <t>t3</t>
        </is>
      </c>
      <c r="G34" s="3" t="inlineStr">
        <is>
          <t>да</t>
        </is>
      </c>
      <c r="H34" s="3" t="n">
        <v>7.46</v>
      </c>
      <c r="I34" s="3" t="n">
        <v>16.6</v>
      </c>
      <c r="J34" s="3" t="n">
        <v>0.95</v>
      </c>
      <c r="K34" s="3" t="inlineStr"/>
      <c r="L34" s="3" t="inlineStr">
        <is>
          <t>main:fable=77; side: opus=37 haiku=31 sonnet=28 (4 аг.)</t>
        </is>
      </c>
      <c r="M34" s="3" t="inlineStr">
        <is>
          <t>2 дефекта формата журнала</t>
        </is>
      </c>
      <c r="N34" s="3" t="inlineStr">
        <is>
          <t>kill 6/6 вкл. M1</t>
        </is>
      </c>
    </row>
    <row r="35">
      <c r="A35" s="4" t="inlineStr">
        <is>
          <t>№12</t>
        </is>
      </c>
      <c r="B35" s="4" t="inlineStr"/>
      <c r="C35" s="4" t="inlineStr"/>
      <c r="D35" s="4" t="inlineStr">
        <is>
          <t>fable</t>
        </is>
      </c>
      <c r="E35" s="4" t="inlineStr">
        <is>
          <t>Ffg1</t>
        </is>
      </c>
      <c r="F35" s="4" t="inlineStr">
        <is>
          <t>ИТОГ ПЛЕЧА</t>
        </is>
      </c>
      <c r="G35" s="4" t="inlineStr"/>
      <c r="H35" s="4">
        <f>SUM(H32:H34)</f>
        <v/>
      </c>
      <c r="I35" s="4">
        <f>SUM(I32:I34)</f>
        <v/>
      </c>
      <c r="J35" s="4">
        <f>J32</f>
        <v/>
      </c>
      <c r="K35" s="4">
        <f>IF(OR(J32="",J32=0),"н-д",ROUND(SUM(H32:H34)/J32,1))</f>
        <v/>
      </c>
      <c r="L35" s="4" t="inlineStr"/>
      <c r="M35" s="4" t="inlineStr"/>
      <c r="N35" s="4" t="inlineStr"/>
    </row>
    <row r="36">
      <c r="A36" s="3" t="inlineStr">
        <is>
          <t>№13</t>
        </is>
      </c>
      <c r="B36" s="3" t="inlineStr">
        <is>
          <t>07-18</t>
        </is>
      </c>
      <c r="C36" s="3" t="inlineStr">
        <is>
          <t>kit v5.2.1 = штаб 507ec18</t>
        </is>
      </c>
      <c r="D36" s="3" t="inlineStr">
        <is>
          <t>sonnet</t>
        </is>
      </c>
      <c r="E36" s="3" t="inlineStr">
        <is>
          <t>A</t>
        </is>
      </c>
      <c r="F36" s="3" t="inlineStr">
        <is>
          <t>t1</t>
        </is>
      </c>
      <c r="G36" s="3" t="inlineStr">
        <is>
          <t>условно</t>
        </is>
      </c>
      <c r="H36" s="3" t="n">
        <v>0.61</v>
      </c>
      <c r="I36" s="3" t="n">
        <v>1.4</v>
      </c>
      <c r="J36" s="3" t="n">
        <v>0.6</v>
      </c>
      <c r="K36" s="3" t="inlineStr"/>
      <c r="L36" s="3" t="inlineStr">
        <is>
          <t>main:sonnet=10; side: fable=2 (1 аг. — прокси)</t>
        </is>
      </c>
      <c r="M36" s="3" t="inlineStr">
        <is>
          <t>UI НЕ ПРОДЕМОНСТРИРОВАН (среда блокирует вождение); тестов нет</t>
        </is>
      </c>
      <c r="N36" s="3" t="inlineStr">
        <is>
          <t>*скаляр с оговоркой t1</t>
        </is>
      </c>
    </row>
    <row r="37">
      <c r="A37" s="3" t="inlineStr">
        <is>
          <t>№13</t>
        </is>
      </c>
      <c r="B37" s="3" t="inlineStr">
        <is>
          <t>07-18</t>
        </is>
      </c>
      <c r="C37" s="3" t="inlineStr">
        <is>
          <t>kit v5.2.1</t>
        </is>
      </c>
      <c r="D37" s="3" t="inlineStr">
        <is>
          <t>sonnet</t>
        </is>
      </c>
      <c r="E37" s="3" t="inlineStr">
        <is>
          <t>A</t>
        </is>
      </c>
      <c r="F37" s="3" t="inlineStr">
        <is>
          <t>t2</t>
        </is>
      </c>
      <c r="G37" s="3" t="inlineStr">
        <is>
          <t>да</t>
        </is>
      </c>
      <c r="H37" s="3" t="n">
        <v>2.22</v>
      </c>
      <c r="I37" s="3" t="n">
        <v>6.9</v>
      </c>
      <c r="J37" s="3" t="n">
        <v>0.6</v>
      </c>
      <c r="K37" s="3" t="inlineStr"/>
      <c r="L37" s="3" t="inlineStr">
        <is>
          <t>main:sonnet=64; side: sonnet=51 fable=2 (2 аг.)</t>
        </is>
      </c>
      <c r="M37" s="3" t="inlineStr">
        <is>
          <t>0 (40/40 file:line точны)</t>
        </is>
      </c>
      <c r="N37" s="3" t="inlineStr">
        <is>
          <t>деливерабл — внешний артефакт (доступен)</t>
        </is>
      </c>
    </row>
    <row r="38">
      <c r="A38" s="3" t="inlineStr">
        <is>
          <t>№13</t>
        </is>
      </c>
      <c r="B38" s="3" t="inlineStr">
        <is>
          <t>07-18</t>
        </is>
      </c>
      <c r="C38" s="3" t="inlineStr">
        <is>
          <t>kit v5.2.1</t>
        </is>
      </c>
      <c r="D38" s="3" t="inlineStr">
        <is>
          <t>sonnet</t>
        </is>
      </c>
      <c r="E38" s="3" t="inlineStr">
        <is>
          <t>A</t>
        </is>
      </c>
      <c r="F38" s="3" t="inlineStr">
        <is>
          <t>t3</t>
        </is>
      </c>
      <c r="G38" s="3" t="inlineStr">
        <is>
          <t>да</t>
        </is>
      </c>
      <c r="H38" s="3" t="n">
        <v>0.53</v>
      </c>
      <c r="I38" s="3" t="n">
        <v>1.6</v>
      </c>
      <c r="J38" s="3" t="n">
        <v>0.6</v>
      </c>
      <c r="K38" s="3" t="inlineStr"/>
      <c r="L38" s="3" t="inlineStr">
        <is>
          <t>main:sonnet=20; side: fable=2 (1 аг.)</t>
        </is>
      </c>
      <c r="M38" s="3" t="inlineStr">
        <is>
          <t>тестов нет (kill н-п); класс закрыт поведенчески (стабильные id)</t>
        </is>
      </c>
      <c r="N38" s="3" t="inlineStr"/>
    </row>
    <row r="39">
      <c r="A39" s="4" t="inlineStr">
        <is>
          <t>№13</t>
        </is>
      </c>
      <c r="B39" s="4" t="inlineStr"/>
      <c r="C39" s="4" t="inlineStr"/>
      <c r="D39" s="4" t="inlineStr">
        <is>
          <t>sonnet</t>
        </is>
      </c>
      <c r="E39" s="4" t="inlineStr">
        <is>
          <t>A</t>
        </is>
      </c>
      <c r="F39" s="4" t="inlineStr">
        <is>
          <t>ИТОГ ПЛЕЧА</t>
        </is>
      </c>
      <c r="G39" s="4" t="inlineStr"/>
      <c r="H39" s="4">
        <f>SUM(H36:H38)</f>
        <v/>
      </c>
      <c r="I39" s="4">
        <f>SUM(I36:I38)</f>
        <v/>
      </c>
      <c r="J39" s="4">
        <f>J36</f>
        <v/>
      </c>
      <c r="K39" s="4">
        <f>IF(OR(J36="",J36=0),"н-д",ROUND(SUM(H36:H38)/J36,1))</f>
        <v/>
      </c>
      <c r="L39" s="4" t="inlineStr"/>
      <c r="M39" s="4" t="inlineStr"/>
      <c r="N39" s="4" t="inlineStr"/>
    </row>
    <row r="40">
      <c r="A40" s="3" t="inlineStr">
        <is>
          <t>№13</t>
        </is>
      </c>
      <c r="B40" s="3" t="inlineStr">
        <is>
          <t>07-18</t>
        </is>
      </c>
      <c r="C40" s="3" t="inlineStr">
        <is>
          <t>kit v5.2.1</t>
        </is>
      </c>
      <c r="D40" s="3" t="inlineStr">
        <is>
          <t>sonnet</t>
        </is>
      </c>
      <c r="E40" s="3" t="inlineStr">
        <is>
          <t>Bfg4</t>
        </is>
      </c>
      <c r="F40" s="3" t="inlineStr">
        <is>
          <t>t1</t>
        </is>
      </c>
      <c r="G40" s="3" t="inlineStr">
        <is>
          <t>да</t>
        </is>
      </c>
      <c r="H40" s="3" t="n">
        <v>9.84</v>
      </c>
      <c r="I40" s="3" t="n">
        <v>37.5</v>
      </c>
      <c r="J40" s="3" t="n">
        <v>0.9399999999999999</v>
      </c>
      <c r="K40" s="3" t="inlineStr"/>
      <c r="L40" s="3" t="inlineStr">
        <is>
          <t>main:sonnet=105; side: opus=101 sonnet=84 haiku=40 fable=33 (10 аг.)</t>
        </is>
      </c>
      <c r="M40" s="3" t="inlineStr">
        <is>
          <t>kill 5/6: M6 граница MAX_NESTING_DEPTH (4-й повтор); арабские цифры молча приняты (без теста)</t>
        </is>
      </c>
      <c r="N40" s="3" t="inlineStr">
        <is>
          <t>46 тестов; оператора ** нет (DoS-ключи moot)</t>
        </is>
      </c>
    </row>
    <row r="41">
      <c r="A41" s="3" t="inlineStr">
        <is>
          <t>№13</t>
        </is>
      </c>
      <c r="B41" s="3" t="inlineStr">
        <is>
          <t>07-18</t>
        </is>
      </c>
      <c r="C41" s="3" t="inlineStr">
        <is>
          <t>kit v5.2.1</t>
        </is>
      </c>
      <c r="D41" s="3" t="inlineStr">
        <is>
          <t>sonnet</t>
        </is>
      </c>
      <c r="E41" s="3" t="inlineStr">
        <is>
          <t>Bfg4</t>
        </is>
      </c>
      <c r="F41" s="3" t="inlineStr">
        <is>
          <t>t2</t>
        </is>
      </c>
      <c r="G41" s="3" t="inlineStr">
        <is>
          <t>да</t>
        </is>
      </c>
      <c r="H41" s="3" t="n">
        <v>5.79</v>
      </c>
      <c r="I41" s="3" t="n">
        <v>35.1</v>
      </c>
      <c r="J41" s="3" t="n">
        <v>0.9399999999999999</v>
      </c>
      <c r="K41" s="3" t="inlineStr"/>
      <c r="L41" s="3" t="inlineStr">
        <is>
          <t>main:sonnet=86; side: haiku=77 opus=48 fable=2 (5 аг.)</t>
        </is>
      </c>
      <c r="M41" s="3" t="inlineStr">
        <is>
          <t>1 само-противоречивое утверждение (43/44 точны)</t>
        </is>
      </c>
      <c r="N41" s="3" t="inlineStr">
        <is>
          <t>stall 306s</t>
        </is>
      </c>
    </row>
    <row r="42">
      <c r="A42" s="3" t="inlineStr">
        <is>
          <t>№13</t>
        </is>
      </c>
      <c r="B42" s="3" t="inlineStr">
        <is>
          <t>07-18</t>
        </is>
      </c>
      <c r="C42" s="3" t="inlineStr">
        <is>
          <t>kit v5.2.1</t>
        </is>
      </c>
      <c r="D42" s="3" t="inlineStr">
        <is>
          <t>sonnet</t>
        </is>
      </c>
      <c r="E42" s="3" t="inlineStr">
        <is>
          <t>Bfg4</t>
        </is>
      </c>
      <c r="F42" s="3" t="inlineStr">
        <is>
          <t>t3</t>
        </is>
      </c>
      <c r="G42" s="3" t="inlineStr">
        <is>
          <t>да</t>
        </is>
      </c>
      <c r="H42" s="3" t="n">
        <v>2.4</v>
      </c>
      <c r="I42" s="3" t="n">
        <v>10.9</v>
      </c>
      <c r="J42" s="3" t="n">
        <v>0.9399999999999999</v>
      </c>
      <c r="K42" s="3" t="inlineStr"/>
      <c r="L42" s="3" t="inlineStr">
        <is>
          <t>main:sonnet=42; side: sonnet=28 opus=17 fable=5 (3 аг.)</t>
        </is>
      </c>
      <c r="M42" s="3" t="inlineStr">
        <is>
          <t>1 дефект журнала (хвостовые пустые строки)</t>
        </is>
      </c>
      <c r="N42" s="3" t="inlineStr">
        <is>
          <t>kill 6/6 вкл. M1; снимок критика СОВПАЛ (первый за серию)</t>
        </is>
      </c>
    </row>
    <row r="43">
      <c r="A43" s="4" t="inlineStr">
        <is>
          <t>№13</t>
        </is>
      </c>
      <c r="B43" s="4" t="inlineStr"/>
      <c r="C43" s="4" t="inlineStr"/>
      <c r="D43" s="4" t="inlineStr">
        <is>
          <t>sonnet</t>
        </is>
      </c>
      <c r="E43" s="4" t="inlineStr">
        <is>
          <t>Bfg4</t>
        </is>
      </c>
      <c r="F43" s="4" t="inlineStr">
        <is>
          <t>ИТОГ ПЛЕЧА</t>
        </is>
      </c>
      <c r="G43" s="4" t="inlineStr"/>
      <c r="H43" s="4">
        <f>SUM(H40:H42)</f>
        <v/>
      </c>
      <c r="I43" s="4">
        <f>SUM(I40:I42)</f>
        <v/>
      </c>
      <c r="J43" s="4">
        <f>J40</f>
        <v/>
      </c>
      <c r="K43" s="4">
        <f>IF(OR(J40="",J40=0),"н-д",ROUND(SUM(H40:H42)/J40,1))</f>
        <v/>
      </c>
      <c r="L43" s="4" t="inlineStr"/>
      <c r="M43" s="4" t="inlineStr"/>
      <c r="N43" s="4" t="inlineStr"/>
    </row>
    <row r="44">
      <c r="A44" s="3" t="inlineStr">
        <is>
          <t>№13</t>
        </is>
      </c>
      <c r="B44" s="3" t="inlineStr">
        <is>
          <t>07-18</t>
        </is>
      </c>
      <c r="C44" s="3" t="inlineStr">
        <is>
          <t>kit v5.2.1</t>
        </is>
      </c>
      <c r="D44" s="3" t="inlineStr">
        <is>
          <t>sonnet</t>
        </is>
      </c>
      <c r="E44" s="3" t="inlineStr">
        <is>
          <t>C</t>
        </is>
      </c>
      <c r="F44" s="3" t="inlineStr">
        <is>
          <t>t1</t>
        </is>
      </c>
      <c r="G44" s="3" t="inlineStr">
        <is>
          <t>да</t>
        </is>
      </c>
      <c r="H44" s="3" t="n">
        <v>1.44</v>
      </c>
      <c r="I44" s="3" t="n">
        <v>7.3</v>
      </c>
      <c r="J44" s="3" t="n">
        <v>0.52</v>
      </c>
      <c r="K44" s="3" t="inlineStr"/>
      <c r="L44" s="3" t="inlineStr">
        <is>
          <t>main:sonnet=12; side: sonnet=44 opus=9 fable=2 (5 аг.)</t>
        </is>
      </c>
      <c r="M44" s="3" t="inlineStr">
        <is>
          <t>КЛЮЧ ПРИОРИТЕТОВ ПРОВАЛЕН (2+2*2 -&gt; Error); NUL-байт — тихая потеря строки; тестов нет</t>
        </is>
      </c>
      <c r="N44" s="3" t="inlineStr">
        <is>
          <t>компилируемый C, однооперационный парсер</t>
        </is>
      </c>
    </row>
    <row r="45">
      <c r="A45" s="3" t="inlineStr">
        <is>
          <t>№13</t>
        </is>
      </c>
      <c r="B45" s="3" t="inlineStr">
        <is>
          <t>07-18</t>
        </is>
      </c>
      <c r="C45" s="3" t="inlineStr">
        <is>
          <t>kit v5.2.1</t>
        </is>
      </c>
      <c r="D45" s="3" t="inlineStr">
        <is>
          <t>sonnet</t>
        </is>
      </c>
      <c r="E45" s="3" t="inlineStr">
        <is>
          <t>C</t>
        </is>
      </c>
      <c r="F45" s="3" t="inlineStr">
        <is>
          <t>t2</t>
        </is>
      </c>
      <c r="G45" s="3" t="inlineStr">
        <is>
          <t>НЕТ</t>
        </is>
      </c>
      <c r="H45" s="3" t="n">
        <v>3.38</v>
      </c>
      <c r="I45" s="3" t="n">
        <v>13.1</v>
      </c>
      <c r="J45" s="3" t="n">
        <v>0.52</v>
      </c>
      <c r="K45" s="3" t="inlineStr"/>
      <c r="L45" s="3" t="inlineStr">
        <is>
          <t>main:sonnet=19; side: sonnet=117 (14 аг.)</t>
        </is>
      </c>
      <c r="M45" s="3" t="inlineStr">
        <is>
          <t>ДЕЛИВЕРАБЛ НЕ СУЩЕСТВУЕТ (workflow-воркер killed)</t>
        </is>
      </c>
      <c r="N45" s="3" t="inlineStr">
        <is>
          <t>непринятая задача</t>
        </is>
      </c>
    </row>
    <row r="46">
      <c r="A46" s="3" t="inlineStr">
        <is>
          <t>№13</t>
        </is>
      </c>
      <c r="B46" s="3" t="inlineStr">
        <is>
          <t>07-18</t>
        </is>
      </c>
      <c r="C46" s="3" t="inlineStr">
        <is>
          <t>kit v5.2.1</t>
        </is>
      </c>
      <c r="D46" s="3" t="inlineStr">
        <is>
          <t>sonnet</t>
        </is>
      </c>
      <c r="E46" s="3" t="inlineStr">
        <is>
          <t>C</t>
        </is>
      </c>
      <c r="F46" s="3" t="inlineStr">
        <is>
          <t>t3</t>
        </is>
      </c>
      <c r="G46" s="3" t="inlineStr">
        <is>
          <t>да</t>
        </is>
      </c>
      <c r="H46" s="3" t="n">
        <v>2.2</v>
      </c>
      <c r="I46" s="3" t="n">
        <v>9.1</v>
      </c>
      <c r="J46" s="3" t="n">
        <v>0.52</v>
      </c>
      <c r="K46" s="3" t="inlineStr"/>
      <c r="L46" s="3" t="inlineStr">
        <is>
          <t>main:sonnet=30; side: opus=23 sonnet=25 fable=2 (7 аг.)</t>
        </is>
      </c>
      <c r="M46" s="3" t="inlineStr">
        <is>
          <t>kill 4/5 (1 мутация выжила)</t>
        </is>
      </c>
      <c r="N46" s="3" t="inlineStr">
        <is>
          <t>11 unittest</t>
        </is>
      </c>
    </row>
    <row r="47">
      <c r="A47" s="4" t="inlineStr">
        <is>
          <t>№13</t>
        </is>
      </c>
      <c r="B47" s="4" t="inlineStr"/>
      <c r="C47" s="4" t="inlineStr"/>
      <c r="D47" s="4" t="inlineStr">
        <is>
          <t>sonnet</t>
        </is>
      </c>
      <c r="E47" s="4" t="inlineStr">
        <is>
          <t>C</t>
        </is>
      </c>
      <c r="F47" s="4" t="inlineStr">
        <is>
          <t>ИТОГ ПЛЕЧА</t>
        </is>
      </c>
      <c r="G47" s="4" t="inlineStr"/>
      <c r="H47" s="4">
        <f>SUM(H44:H46)</f>
        <v/>
      </c>
      <c r="I47" s="4">
        <f>SUM(I44:I46)</f>
        <v/>
      </c>
      <c r="J47" s="4">
        <f>J44</f>
        <v/>
      </c>
      <c r="K47" s="4">
        <f>IF(OR(J44="",J44=0),"н-д",ROUND(SUM(H44:H46)/J44,1))</f>
        <v/>
      </c>
      <c r="L47" s="4" t="inlineStr"/>
      <c r="M47" s="4" t="inlineStr"/>
      <c r="N47" s="4" t="inlineStr"/>
    </row>
    <row r="48">
      <c r="A48" s="3" t="inlineStr">
        <is>
          <t>№13c2</t>
        </is>
      </c>
      <c r="B48" s="3" t="inlineStr">
        <is>
          <t>07-18</t>
        </is>
      </c>
      <c r="C48" s="3" t="inlineStr">
        <is>
          <t>kit v5.2.1</t>
        </is>
      </c>
      <c r="D48" s="3" t="inlineStr">
        <is>
          <t>sonnet</t>
        </is>
      </c>
      <c r="E48" s="3" t="inlineStr">
        <is>
          <t>C2</t>
        </is>
      </c>
      <c r="F48" s="3" t="inlineStr">
        <is>
          <t>t1</t>
        </is>
      </c>
      <c r="G48" s="3" t="inlineStr">
        <is>
          <t>грейдинг</t>
        </is>
      </c>
      <c r="H48" s="3" t="n">
        <v>1.4</v>
      </c>
      <c r="I48" s="3" t="n">
        <v>7.3</v>
      </c>
      <c r="J48" s="3" t="inlineStr">
        <is>
          <t>н-д</t>
        </is>
      </c>
      <c r="K48" s="3" t="inlineStr"/>
      <c r="L48" s="3" t="inlineStr">
        <is>
          <t>main:sonnet=17; side: sonnet=13 opus=7 fable=2 (6 аг.)</t>
        </is>
      </c>
      <c r="M48" s="3" t="inlineStr">
        <is>
          <t>грейдинг в работе (t-189)</t>
        </is>
      </c>
      <c r="N48" s="3" t="inlineStr">
        <is>
          <t>перезапуск C по слову оператора</t>
        </is>
      </c>
    </row>
    <row r="49">
      <c r="A49" s="3" t="inlineStr">
        <is>
          <t>№13c2</t>
        </is>
      </c>
      <c r="B49" s="3" t="inlineStr">
        <is>
          <t>07-18</t>
        </is>
      </c>
      <c r="C49" s="3" t="inlineStr">
        <is>
          <t>kit v5.2.1</t>
        </is>
      </c>
      <c r="D49" s="3" t="inlineStr">
        <is>
          <t>sonnet</t>
        </is>
      </c>
      <c r="E49" s="3" t="inlineStr">
        <is>
          <t>C2</t>
        </is>
      </c>
      <c r="F49" s="3" t="inlineStr">
        <is>
          <t>t2</t>
        </is>
      </c>
      <c r="G49" s="3" t="inlineStr">
        <is>
          <t>грейдинг</t>
        </is>
      </c>
      <c r="H49" s="3" t="n">
        <v>1.95</v>
      </c>
      <c r="I49" s="3" t="n">
        <v>8.199999999999999</v>
      </c>
      <c r="J49" s="3" t="inlineStr">
        <is>
          <t>н-д</t>
        </is>
      </c>
      <c r="K49" s="3" t="inlineStr"/>
      <c r="L49" s="3" t="inlineStr">
        <is>
          <t>main:sonnet=29; side: sonnet=73 opus=13 fable=2 (9 аг.)</t>
        </is>
      </c>
      <c r="M49" s="3" t="inlineStr">
        <is>
          <t>файлов не добавлено — деливерабл устанавливается</t>
        </is>
      </c>
      <c r="N49" s="3" t="inlineStr"/>
    </row>
    <row r="50">
      <c r="A50" s="3" t="inlineStr">
        <is>
          <t>№13c2</t>
        </is>
      </c>
      <c r="B50" s="3" t="inlineStr">
        <is>
          <t>07-18</t>
        </is>
      </c>
      <c r="C50" s="3" t="inlineStr">
        <is>
          <t>kit v5.2.1</t>
        </is>
      </c>
      <c r="D50" s="3" t="inlineStr">
        <is>
          <t>sonnet</t>
        </is>
      </c>
      <c r="E50" s="3" t="inlineStr">
        <is>
          <t>C2</t>
        </is>
      </c>
      <c r="F50" s="3" t="inlineStr">
        <is>
          <t>t3</t>
        </is>
      </c>
      <c r="G50" s="3" t="inlineStr">
        <is>
          <t>грейдинг</t>
        </is>
      </c>
      <c r="H50" s="3" t="n">
        <v>1.27</v>
      </c>
      <c r="I50" s="3" t="n">
        <v>6.6</v>
      </c>
      <c r="J50" s="3" t="inlineStr">
        <is>
          <t>н-д</t>
        </is>
      </c>
      <c r="K50" s="3" t="inlineStr"/>
      <c r="L50" s="3" t="inlineStr">
        <is>
          <t>main:sonnet=26; side: sonnet=33 opus=14 fable=2 (6 аг.)</t>
        </is>
      </c>
      <c r="M50" s="3" t="inlineStr">
        <is>
          <t>todo.py правлен на месте, тестов не добавлено</t>
        </is>
      </c>
      <c r="N50" s="3" t="inlineStr"/>
    </row>
    <row r="51">
      <c r="A51" s="4" t="inlineStr">
        <is>
          <t>№13c2</t>
        </is>
      </c>
      <c r="B51" s="4" t="inlineStr"/>
      <c r="C51" s="4" t="inlineStr"/>
      <c r="D51" s="4" t="inlineStr">
        <is>
          <t>sonnet</t>
        </is>
      </c>
      <c r="E51" s="4" t="inlineStr">
        <is>
          <t>C2</t>
        </is>
      </c>
      <c r="F51" s="4" t="inlineStr">
        <is>
          <t>ИТОГ ПЛЕЧА</t>
        </is>
      </c>
      <c r="G51" s="4" t="inlineStr"/>
      <c r="H51" s="4">
        <f>SUM(H48:H50)</f>
        <v/>
      </c>
      <c r="I51" s="4">
        <f>SUM(I48:I50)</f>
        <v/>
      </c>
      <c r="J51" s="4">
        <f>J48</f>
        <v/>
      </c>
      <c r="K51" s="4">
        <f>IF(OR(J48="",J48=0),"н-д",ROUND(SUM(H48:H50)/J48,1))</f>
        <v/>
      </c>
      <c r="L51" s="4" t="inlineStr"/>
      <c r="M51" s="4" t="inlineStr"/>
      <c r="N51" s="4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7" customWidth="1" min="2" max="2"/>
    <col width="14" customWidth="1" min="3" max="3"/>
    <col width="11" customWidth="1" min="4" max="4"/>
    <col width="7" customWidth="1" min="5" max="5"/>
    <col width="16" customWidth="1" min="6" max="6"/>
    <col width="10" customWidth="1" min="7" max="7"/>
    <col width="11" customWidth="1" min="8" max="8"/>
    <col width="9" customWidth="1" min="9" max="9"/>
    <col width="9" customWidth="1" min="10" max="10"/>
    <col width="10" customWidth="1" min="11" max="11"/>
    <col width="14" customWidth="1" min="12" max="12"/>
    <col width="40" customWidth="1" min="13" max="13"/>
    <col width="42" customWidth="1" min="14" max="14"/>
  </cols>
  <sheetData>
    <row r="1">
      <c r="A1" s="1" t="inlineStr">
        <is>
          <t>БОЛЬШИЕ ЭКЗАМЕНЫ (набор №2, многосессионные). Прогоны №5/№6: трекер расходов, 4 сессии на плечо; скаляры — финальные после вердиктов оператора 07-16. Полный разбор: docs/tasks/2026-07-15_economy-exam-runs5-6.md.</t>
        </is>
      </c>
    </row>
    <row r="3">
      <c r="A3" s="2" t="inlineStr">
        <is>
          <t>Прогон</t>
        </is>
      </c>
      <c r="B3" s="2" t="inlineStr">
        <is>
          <t>Дата</t>
        </is>
      </c>
      <c r="C3" s="2" t="inlineStr">
        <is>
          <t>Кит</t>
        </is>
      </c>
      <c r="D3" s="2" t="inlineStr">
        <is>
          <t>Координатор</t>
        </is>
      </c>
      <c r="E3" s="2" t="inlineStr">
        <is>
          <t>Плечо</t>
        </is>
      </c>
      <c r="F3" s="2" t="inlineStr">
        <is>
          <t>Задача</t>
        </is>
      </c>
      <c r="G3" s="2" t="inlineStr">
        <is>
          <t>Сдано</t>
        </is>
      </c>
      <c r="H3" s="2" t="inlineStr">
        <is>
          <t>Цена $ (вал)</t>
        </is>
      </c>
      <c r="I3" s="2" t="inlineStr">
        <is>
          <t>Wall, мин</t>
        </is>
      </c>
      <c r="J3" s="2" t="inlineStr">
        <is>
          <t>Скаляр 6б</t>
        </is>
      </c>
      <c r="K3" s="2" t="inlineStr">
        <is>
          <t>F ($/взвеш.точку)</t>
        </is>
      </c>
      <c r="L3" s="2" t="inlineStr">
        <is>
          <t>Делегирование</t>
        </is>
      </c>
      <c r="M3" s="2" t="inlineStr">
        <is>
          <t>Пропущенные баги/дефекты</t>
        </is>
      </c>
      <c r="N3" s="2" t="inlineStr">
        <is>
          <t>Примечания</t>
        </is>
      </c>
    </row>
    <row r="4">
      <c r="A4" s="3" t="inlineStr">
        <is>
          <t>№5</t>
        </is>
      </c>
      <c r="B4" s="3" t="inlineStr">
        <is>
          <t>07-15</t>
        </is>
      </c>
      <c r="C4" s="3" t="inlineStr">
        <is>
          <t>kit 2560d2b</t>
        </is>
      </c>
      <c r="D4" s="3" t="inlineStr">
        <is>
          <t>sonnet</t>
        </is>
      </c>
      <c r="E4" s="3" t="inlineStr">
        <is>
          <t>A</t>
        </is>
      </c>
      <c r="F4" s="3" t="inlineStr">
        <is>
          <t>трекер расходов</t>
        </is>
      </c>
      <c r="G4" s="3" t="inlineStr">
        <is>
          <t>3/3 сессий</t>
        </is>
      </c>
      <c r="H4" s="3" t="n">
        <v>5.69</v>
      </c>
      <c r="I4" s="3" t="n">
        <v>21</v>
      </c>
      <c r="J4" s="3" t="n">
        <v>0.64</v>
      </c>
      <c r="K4" s="3">
        <f>ROUND(H4/J4,1)</f>
        <v/>
      </c>
      <c r="L4" s="3" t="inlineStr">
        <is>
          <t>делег. 21%</t>
        </is>
      </c>
      <c r="M4" s="3" t="inlineStr">
        <is>
          <t>унёс чужой латентный баг не глядя</t>
        </is>
      </c>
      <c r="N4" s="3" t="inlineStr">
        <is>
          <t>скаляры финальные (вердикты оператора 07-16)</t>
        </is>
      </c>
    </row>
    <row r="5">
      <c r="A5" s="3" t="inlineStr">
        <is>
          <t>№5</t>
        </is>
      </c>
      <c r="B5" s="3" t="inlineStr">
        <is>
          <t>07-15</t>
        </is>
      </c>
      <c r="C5" s="3" t="inlineStr">
        <is>
          <t>kit 2560d2b</t>
        </is>
      </c>
      <c r="D5" s="3" t="inlineStr">
        <is>
          <t>sonnet</t>
        </is>
      </c>
      <c r="E5" s="3" t="inlineStr">
        <is>
          <t>B</t>
        </is>
      </c>
      <c r="F5" s="3" t="inlineStr">
        <is>
          <t>трекер расходов</t>
        </is>
      </c>
      <c r="G5" s="3" t="inlineStr">
        <is>
          <t>3/3</t>
        </is>
      </c>
      <c r="H5" s="3" t="n">
        <v>31.91</v>
      </c>
      <c r="I5" s="3" t="n">
        <v>121</v>
      </c>
      <c r="J5" s="3" t="n">
        <v>0.7</v>
      </c>
      <c r="K5" s="3">
        <f>ROUND(H5/J5,1)</f>
        <v/>
      </c>
      <c r="L5" s="3" t="inlineStr">
        <is>
          <t>делег. 68%</t>
        </is>
      </c>
      <c r="M5" s="3" t="inlineStr">
        <is>
          <t>13 нарушений журнала полевого B-Sonnet</t>
        </is>
      </c>
      <c r="N5" s="3" t="inlineStr">
        <is>
          <t>«кто спросил — выиграл» (валюты/дубль)</t>
        </is>
      </c>
    </row>
    <row r="6">
      <c r="A6" s="3" t="inlineStr">
        <is>
          <t>№5</t>
        </is>
      </c>
      <c r="B6" s="3" t="inlineStr">
        <is>
          <t>07-15</t>
        </is>
      </c>
      <c r="C6" s="3" t="inlineStr">
        <is>
          <t>kit 2560d2b</t>
        </is>
      </c>
      <c r="D6" s="3" t="inlineStr">
        <is>
          <t>sonnet</t>
        </is>
      </c>
      <c r="E6" s="3" t="inlineStr">
        <is>
          <t>C</t>
        </is>
      </c>
      <c r="F6" s="3" t="inlineStr">
        <is>
          <t>трекер расходов</t>
        </is>
      </c>
      <c r="G6" s="3" t="inlineStr">
        <is>
          <t>3/3</t>
        </is>
      </c>
      <c r="H6" s="3" t="n">
        <v>12.67</v>
      </c>
      <c r="I6" s="3" t="n">
        <v>50</v>
      </c>
      <c r="J6" s="3" t="n">
        <v>0.7</v>
      </c>
      <c r="K6" s="3">
        <f>ROUND(H6/J6,1)</f>
        <v/>
      </c>
      <c r="L6" s="3" t="inlineStr">
        <is>
          <t>делег. 70%</t>
        </is>
      </c>
      <c r="M6" s="3" t="inlineStr"/>
      <c r="N6" s="3" t="inlineStr"/>
    </row>
    <row r="7">
      <c r="A7" s="3" t="inlineStr">
        <is>
          <t>№6</t>
        </is>
      </c>
      <c r="B7" s="3" t="inlineStr">
        <is>
          <t>07-15</t>
        </is>
      </c>
      <c r="C7" s="3" t="inlineStr">
        <is>
          <t>kit 2560d2b</t>
        </is>
      </c>
      <c r="D7" s="3" t="inlineStr">
        <is>
          <t>fable</t>
        </is>
      </c>
      <c r="E7" s="3" t="inlineStr">
        <is>
          <t>A</t>
        </is>
      </c>
      <c r="F7" s="3" t="inlineStr">
        <is>
          <t>трекер расходов</t>
        </is>
      </c>
      <c r="G7" s="3" t="inlineStr">
        <is>
          <t>3/3</t>
        </is>
      </c>
      <c r="H7" s="3" t="n">
        <v>13.83</v>
      </c>
      <c r="I7" s="3" t="n">
        <v>29</v>
      </c>
      <c r="J7" s="3" t="n">
        <v>0.72</v>
      </c>
      <c r="K7" s="3">
        <f>ROUND(H7/J7,1)</f>
        <v/>
      </c>
      <c r="L7" s="3" t="inlineStr">
        <is>
          <t>делег. 8%</t>
        </is>
      </c>
      <c r="M7" s="3" t="inlineStr"/>
      <c r="N7" s="3" t="inlineStr"/>
    </row>
    <row r="8">
      <c r="A8" s="3" t="inlineStr">
        <is>
          <t>№6</t>
        </is>
      </c>
      <c r="B8" s="3" t="inlineStr">
        <is>
          <t>07-15</t>
        </is>
      </c>
      <c r="C8" s="3" t="inlineStr">
        <is>
          <t>kit 2560d2b</t>
        </is>
      </c>
      <c r="D8" s="3" t="inlineStr">
        <is>
          <t>fable</t>
        </is>
      </c>
      <c r="E8" s="3" t="inlineStr">
        <is>
          <t>B</t>
        </is>
      </c>
      <c r="F8" s="3" t="inlineStr">
        <is>
          <t>трекер расходов</t>
        </is>
      </c>
      <c r="G8" s="3" t="inlineStr">
        <is>
          <t>3/3</t>
        </is>
      </c>
      <c r="H8" s="3" t="n">
        <v>36.46</v>
      </c>
      <c r="I8" s="3" t="n">
        <v>101</v>
      </c>
      <c r="J8" s="3" t="n">
        <v>0.86</v>
      </c>
      <c r="K8" s="3">
        <f>ROUND(H8/J8,1)</f>
        <v/>
      </c>
      <c r="L8" s="3" t="inlineStr">
        <is>
          <t>делег. 53%</t>
        </is>
      </c>
      <c r="M8" s="3" t="inlineStr"/>
      <c r="N8" s="3" t="inlineStr">
        <is>
          <t>ЕДИНСТВЕННЫЙ сдал тесты (167 passed); вопросы вверх окупились (D-0077)</t>
        </is>
      </c>
    </row>
    <row r="9">
      <c r="A9" s="3" t="inlineStr">
        <is>
          <t>№6</t>
        </is>
      </c>
      <c r="B9" s="3" t="inlineStr">
        <is>
          <t>07-15</t>
        </is>
      </c>
      <c r="C9" s="3" t="inlineStr">
        <is>
          <t>kit 2560d2b</t>
        </is>
      </c>
      <c r="D9" s="3" t="inlineStr">
        <is>
          <t>fable</t>
        </is>
      </c>
      <c r="E9" s="3" t="inlineStr">
        <is>
          <t>C</t>
        </is>
      </c>
      <c r="F9" s="3" t="inlineStr">
        <is>
          <t>трекер расходов</t>
        </is>
      </c>
      <c r="G9" s="3" t="inlineStr">
        <is>
          <t>3/3</t>
        </is>
      </c>
      <c r="H9" s="3" t="n">
        <v>28.14</v>
      </c>
      <c r="I9" s="3" t="n">
        <v>63</v>
      </c>
      <c r="J9" s="3" t="n">
        <v>0.82</v>
      </c>
      <c r="K9" s="3">
        <f>ROUND(H9/J9,1)</f>
        <v/>
      </c>
      <c r="L9" s="3" t="inlineStr">
        <is>
          <t>делег. 48%</t>
        </is>
      </c>
      <c r="M9" s="3" t="inlineStr"/>
      <c r="N9" s="3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2026-07-18T16:53:08Z</dcterms:created>
  <dcterms:modified xmlns:dcterms="http://purl.org/dc/terms/" xmlns:xsi="http://www.w3.org/2001/XMLSchema-instance" xsi:type="dcterms:W3CDTF">2026-07-18T16:53:08Z</dcterms:modified>
</cp:coreProperties>
</file>